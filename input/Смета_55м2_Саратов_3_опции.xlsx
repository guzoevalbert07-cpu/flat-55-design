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albertguzoev/Desktop/files/"/>
    </mc:Choice>
  </mc:AlternateContent>
  <xr:revisionPtr revIDLastSave="0" documentId="13_ncr:1_{005BB515-96A1-8746-9421-42EE56563720}" xr6:coauthVersionLast="47" xr6:coauthVersionMax="47" xr10:uidLastSave="{00000000-0000-0000-0000-000000000000}"/>
  <bookViews>
    <workbookView xWindow="0" yWindow="600" windowWidth="27960" windowHeight="15180" tabRatio="500" xr2:uid="{00000000-000D-0000-FFFF-FFFF00000000}"/>
  </bookViews>
  <sheets>
    <sheet name="Параметры" sheetId="1" r:id="rId1"/>
    <sheet name="1_Ремонт" sheetId="2" r:id="rId2"/>
    <sheet name="2_Заезд" sheetId="3" r:id="rId3"/>
    <sheet name="3_Саммари" sheetId="4" r:id="rId4"/>
    <sheet name="Планировка" sheetId="5" r:id="rId5"/>
    <sheet name="Закупка_ссылки" sheetId="6" r:id="rId6"/>
    <sheet name="Работы_подрядчики" sheetId="7" r:id="rId7"/>
    <sheet name="Видео_и_порядок" sheetId="8" r:id="rId8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4" i="2" l="1"/>
  <c r="N74" i="2"/>
  <c r="C11" i="5"/>
  <c r="B11" i="5"/>
  <c r="E72" i="3"/>
  <c r="O60" i="3"/>
  <c r="K60" i="3"/>
  <c r="I60" i="3"/>
  <c r="G60" i="3"/>
  <c r="K59" i="3"/>
  <c r="I59" i="3"/>
  <c r="O59" i="3" s="1"/>
  <c r="G59" i="3"/>
  <c r="O58" i="3"/>
  <c r="K58" i="3"/>
  <c r="I58" i="3"/>
  <c r="G58" i="3"/>
  <c r="K57" i="3"/>
  <c r="K68" i="3" s="1"/>
  <c r="K70" i="3" s="1"/>
  <c r="D11" i="4" s="1"/>
  <c r="I57" i="3"/>
  <c r="O57" i="3" s="1"/>
  <c r="G57" i="3"/>
  <c r="K56" i="3"/>
  <c r="I56" i="3"/>
  <c r="I68" i="3" s="1"/>
  <c r="I70" i="3" s="1"/>
  <c r="C11" i="4" s="1"/>
  <c r="G56" i="3"/>
  <c r="G68" i="3" s="1"/>
  <c r="G70" i="3" s="1"/>
  <c r="O54" i="3"/>
  <c r="K54" i="3"/>
  <c r="I54" i="3"/>
  <c r="G54" i="3"/>
  <c r="O53" i="3"/>
  <c r="K53" i="3"/>
  <c r="I53" i="3"/>
  <c r="G53" i="3"/>
  <c r="O52" i="3"/>
  <c r="K52" i="3"/>
  <c r="I52" i="3"/>
  <c r="G52" i="3"/>
  <c r="O51" i="3"/>
  <c r="K51" i="3"/>
  <c r="I51" i="3"/>
  <c r="G51" i="3"/>
  <c r="K50" i="3"/>
  <c r="I50" i="3"/>
  <c r="O50" i="3" s="1"/>
  <c r="G50" i="3"/>
  <c r="O49" i="3"/>
  <c r="K49" i="3"/>
  <c r="I49" i="3"/>
  <c r="G49" i="3"/>
  <c r="G67" i="3" s="1"/>
  <c r="O48" i="3"/>
  <c r="O67" i="3" s="1"/>
  <c r="K48" i="3"/>
  <c r="K67" i="3" s="1"/>
  <c r="I48" i="3"/>
  <c r="I67" i="3" s="1"/>
  <c r="G48" i="3"/>
  <c r="O46" i="3"/>
  <c r="K46" i="3"/>
  <c r="I46" i="3"/>
  <c r="G46" i="3"/>
  <c r="O45" i="3"/>
  <c r="K45" i="3"/>
  <c r="I45" i="3"/>
  <c r="G45" i="3"/>
  <c r="O44" i="3"/>
  <c r="K44" i="3"/>
  <c r="I44" i="3"/>
  <c r="G44" i="3"/>
  <c r="O43" i="3"/>
  <c r="K43" i="3"/>
  <c r="I43" i="3"/>
  <c r="G43" i="3"/>
  <c r="O42" i="3"/>
  <c r="K42" i="3"/>
  <c r="I42" i="3"/>
  <c r="G42" i="3"/>
  <c r="O41" i="3"/>
  <c r="K41" i="3"/>
  <c r="I41" i="3"/>
  <c r="G41" i="3"/>
  <c r="O40" i="3"/>
  <c r="K40" i="3"/>
  <c r="I40" i="3"/>
  <c r="G40" i="3"/>
  <c r="K39" i="3"/>
  <c r="I39" i="3"/>
  <c r="O39" i="3" s="1"/>
  <c r="G39" i="3"/>
  <c r="O38" i="3"/>
  <c r="O66" i="3" s="1"/>
  <c r="K38" i="3"/>
  <c r="K66" i="3" s="1"/>
  <c r="I38" i="3"/>
  <c r="I66" i="3" s="1"/>
  <c r="G38" i="3"/>
  <c r="G66" i="3" s="1"/>
  <c r="O36" i="3"/>
  <c r="K36" i="3"/>
  <c r="I36" i="3"/>
  <c r="G36" i="3"/>
  <c r="O35" i="3"/>
  <c r="K35" i="3"/>
  <c r="I35" i="3"/>
  <c r="G35" i="3"/>
  <c r="O34" i="3"/>
  <c r="K34" i="3"/>
  <c r="I34" i="3"/>
  <c r="G34" i="3"/>
  <c r="O33" i="3"/>
  <c r="K33" i="3"/>
  <c r="I33" i="3"/>
  <c r="G33" i="3"/>
  <c r="O32" i="3"/>
  <c r="K32" i="3"/>
  <c r="I32" i="3"/>
  <c r="G32" i="3"/>
  <c r="O31" i="3"/>
  <c r="K31" i="3"/>
  <c r="I31" i="3"/>
  <c r="G31" i="3"/>
  <c r="K30" i="3"/>
  <c r="K65" i="3" s="1"/>
  <c r="I30" i="3"/>
  <c r="O30" i="3" s="1"/>
  <c r="G30" i="3"/>
  <c r="K29" i="3"/>
  <c r="I29" i="3"/>
  <c r="O29" i="3" s="1"/>
  <c r="G29" i="3"/>
  <c r="G65" i="3" s="1"/>
  <c r="O28" i="3"/>
  <c r="K28" i="3"/>
  <c r="I28" i="3"/>
  <c r="I65" i="3" s="1"/>
  <c r="G28" i="3"/>
  <c r="O26" i="3"/>
  <c r="K26" i="3"/>
  <c r="I26" i="3"/>
  <c r="G26" i="3"/>
  <c r="O25" i="3"/>
  <c r="K25" i="3"/>
  <c r="I25" i="3"/>
  <c r="G25" i="3"/>
  <c r="O24" i="3"/>
  <c r="K24" i="3"/>
  <c r="I24" i="3"/>
  <c r="G24" i="3"/>
  <c r="O23" i="3"/>
  <c r="K23" i="3"/>
  <c r="I23" i="3"/>
  <c r="G23" i="3"/>
  <c r="O22" i="3"/>
  <c r="K22" i="3"/>
  <c r="I22" i="3"/>
  <c r="G22" i="3"/>
  <c r="O21" i="3"/>
  <c r="K21" i="3"/>
  <c r="I21" i="3"/>
  <c r="G21" i="3"/>
  <c r="K20" i="3"/>
  <c r="I20" i="3"/>
  <c r="O20" i="3" s="1"/>
  <c r="G20" i="3"/>
  <c r="O19" i="3"/>
  <c r="O64" i="3" s="1"/>
  <c r="K19" i="3"/>
  <c r="K64" i="3" s="1"/>
  <c r="I19" i="3"/>
  <c r="I64" i="3" s="1"/>
  <c r="G19" i="3"/>
  <c r="G64" i="3" s="1"/>
  <c r="O17" i="3"/>
  <c r="K17" i="3"/>
  <c r="I17" i="3"/>
  <c r="G17" i="3"/>
  <c r="O16" i="3"/>
  <c r="K16" i="3"/>
  <c r="I16" i="3"/>
  <c r="G16" i="3"/>
  <c r="O15" i="3"/>
  <c r="K15" i="3"/>
  <c r="I15" i="3"/>
  <c r="G15" i="3"/>
  <c r="O14" i="3"/>
  <c r="K14" i="3"/>
  <c r="I14" i="3"/>
  <c r="G14" i="3"/>
  <c r="K13" i="3"/>
  <c r="I13" i="3"/>
  <c r="O13" i="3" s="1"/>
  <c r="G13" i="3"/>
  <c r="O12" i="3"/>
  <c r="K12" i="3"/>
  <c r="I12" i="3"/>
  <c r="G12" i="3"/>
  <c r="O11" i="3"/>
  <c r="K11" i="3"/>
  <c r="I11" i="3"/>
  <c r="G11" i="3"/>
  <c r="K10" i="3"/>
  <c r="I10" i="3"/>
  <c r="O10" i="3" s="1"/>
  <c r="G10" i="3"/>
  <c r="K9" i="3"/>
  <c r="I9" i="3"/>
  <c r="O9" i="3" s="1"/>
  <c r="G9" i="3"/>
  <c r="O8" i="3"/>
  <c r="K8" i="3"/>
  <c r="I8" i="3"/>
  <c r="G8" i="3"/>
  <c r="O7" i="3"/>
  <c r="K7" i="3"/>
  <c r="I7" i="3"/>
  <c r="G7" i="3"/>
  <c r="O6" i="3"/>
  <c r="O63" i="3" s="1"/>
  <c r="K6" i="3"/>
  <c r="K63" i="3" s="1"/>
  <c r="I6" i="3"/>
  <c r="I63" i="3" s="1"/>
  <c r="G6" i="3"/>
  <c r="G63" i="3" s="1"/>
  <c r="E84" i="2"/>
  <c r="K71" i="2"/>
  <c r="I71" i="2"/>
  <c r="N71" i="2" s="1"/>
  <c r="G71" i="2"/>
  <c r="N70" i="2"/>
  <c r="K70" i="2"/>
  <c r="I70" i="2"/>
  <c r="G70" i="2"/>
  <c r="E69" i="2"/>
  <c r="K69" i="2" s="1"/>
  <c r="N68" i="2"/>
  <c r="K68" i="2"/>
  <c r="G68" i="2"/>
  <c r="E68" i="2"/>
  <c r="I68" i="2" s="1"/>
  <c r="K67" i="2"/>
  <c r="I67" i="2"/>
  <c r="N67" i="2" s="1"/>
  <c r="G67" i="2"/>
  <c r="G66" i="2"/>
  <c r="E66" i="2"/>
  <c r="K65" i="2"/>
  <c r="I65" i="2"/>
  <c r="N65" i="2" s="1"/>
  <c r="G65" i="2"/>
  <c r="N64" i="2"/>
  <c r="K64" i="2"/>
  <c r="I64" i="2"/>
  <c r="G64" i="2"/>
  <c r="K63" i="2"/>
  <c r="I63" i="2"/>
  <c r="N63" i="2" s="1"/>
  <c r="G63" i="2"/>
  <c r="K62" i="2"/>
  <c r="E62" i="2"/>
  <c r="K61" i="2"/>
  <c r="I61" i="2"/>
  <c r="N61" i="2" s="1"/>
  <c r="G61" i="2"/>
  <c r="K60" i="2"/>
  <c r="I60" i="2"/>
  <c r="N60" i="2" s="1"/>
  <c r="G60" i="2"/>
  <c r="K59" i="2"/>
  <c r="I59" i="2"/>
  <c r="N59" i="2" s="1"/>
  <c r="G59" i="2"/>
  <c r="K58" i="2"/>
  <c r="I58" i="2"/>
  <c r="N58" i="2" s="1"/>
  <c r="G58" i="2"/>
  <c r="K57" i="2"/>
  <c r="I57" i="2"/>
  <c r="N57" i="2" s="1"/>
  <c r="G57" i="2"/>
  <c r="E56" i="2"/>
  <c r="K55" i="2"/>
  <c r="I55" i="2"/>
  <c r="N55" i="2" s="1"/>
  <c r="G55" i="2"/>
  <c r="K54" i="2"/>
  <c r="I54" i="2"/>
  <c r="N54" i="2" s="1"/>
  <c r="G54" i="2"/>
  <c r="K53" i="2"/>
  <c r="I53" i="2"/>
  <c r="N53" i="2" s="1"/>
  <c r="G53" i="2"/>
  <c r="K52" i="2"/>
  <c r="I52" i="2"/>
  <c r="N52" i="2" s="1"/>
  <c r="G52" i="2"/>
  <c r="E51" i="2"/>
  <c r="I51" i="2" s="1"/>
  <c r="N51" i="2" s="1"/>
  <c r="E50" i="2"/>
  <c r="G50" i="2" s="1"/>
  <c r="K49" i="2"/>
  <c r="I49" i="2"/>
  <c r="G49" i="2"/>
  <c r="K47" i="2"/>
  <c r="I47" i="2"/>
  <c r="N47" i="2" s="1"/>
  <c r="G47" i="2"/>
  <c r="E46" i="2"/>
  <c r="I46" i="2" s="1"/>
  <c r="N46" i="2" s="1"/>
  <c r="E45" i="2"/>
  <c r="G45" i="2" s="1"/>
  <c r="K43" i="2"/>
  <c r="I43" i="2"/>
  <c r="N43" i="2" s="1"/>
  <c r="G43" i="2"/>
  <c r="K42" i="2"/>
  <c r="I42" i="2"/>
  <c r="N42" i="2" s="1"/>
  <c r="G42" i="2"/>
  <c r="E41" i="2"/>
  <c r="I41" i="2" s="1"/>
  <c r="K39" i="2"/>
  <c r="I39" i="2"/>
  <c r="N39" i="2" s="1"/>
  <c r="G39" i="2"/>
  <c r="K38" i="2"/>
  <c r="I38" i="2"/>
  <c r="N38" i="2" s="1"/>
  <c r="G38" i="2"/>
  <c r="K37" i="2"/>
  <c r="I37" i="2"/>
  <c r="N37" i="2" s="1"/>
  <c r="G37" i="2"/>
  <c r="E36" i="2"/>
  <c r="G36" i="2" s="1"/>
  <c r="K35" i="2"/>
  <c r="I35" i="2"/>
  <c r="N35" i="2" s="1"/>
  <c r="G35" i="2"/>
  <c r="E35" i="2"/>
  <c r="E34" i="2"/>
  <c r="E33" i="2"/>
  <c r="K33" i="2" s="1"/>
  <c r="N31" i="2"/>
  <c r="K31" i="2"/>
  <c r="I31" i="2"/>
  <c r="G31" i="2"/>
  <c r="K30" i="2"/>
  <c r="I30" i="2"/>
  <c r="N30" i="2" s="1"/>
  <c r="G30" i="2"/>
  <c r="N29" i="2"/>
  <c r="K29" i="2"/>
  <c r="I29" i="2"/>
  <c r="G29" i="2"/>
  <c r="E28" i="2"/>
  <c r="K28" i="2" s="1"/>
  <c r="K27" i="2"/>
  <c r="G27" i="2"/>
  <c r="E27" i="2"/>
  <c r="I27" i="2" s="1"/>
  <c r="N27" i="2" s="1"/>
  <c r="K26" i="2"/>
  <c r="I26" i="2"/>
  <c r="N26" i="2" s="1"/>
  <c r="G26" i="2"/>
  <c r="N25" i="2"/>
  <c r="K25" i="2"/>
  <c r="I25" i="2"/>
  <c r="G25" i="2"/>
  <c r="K24" i="2"/>
  <c r="I24" i="2"/>
  <c r="N24" i="2" s="1"/>
  <c r="G24" i="2"/>
  <c r="K23" i="2"/>
  <c r="I23" i="2"/>
  <c r="N23" i="2" s="1"/>
  <c r="G23" i="2"/>
  <c r="E22" i="2"/>
  <c r="E21" i="2"/>
  <c r="E20" i="2"/>
  <c r="K20" i="2" s="1"/>
  <c r="K19" i="2"/>
  <c r="I19" i="2"/>
  <c r="N19" i="2" s="1"/>
  <c r="G19" i="2"/>
  <c r="E19" i="2"/>
  <c r="K18" i="2"/>
  <c r="I18" i="2"/>
  <c r="G18" i="2"/>
  <c r="N16" i="2"/>
  <c r="K16" i="2"/>
  <c r="I16" i="2"/>
  <c r="G16" i="2"/>
  <c r="E15" i="2"/>
  <c r="K15" i="2" s="1"/>
  <c r="N14" i="2"/>
  <c r="K14" i="2"/>
  <c r="I14" i="2"/>
  <c r="G14" i="2"/>
  <c r="K13" i="2"/>
  <c r="I13" i="2"/>
  <c r="N13" i="2" s="1"/>
  <c r="G13" i="2"/>
  <c r="E12" i="2"/>
  <c r="K10" i="2"/>
  <c r="I10" i="2"/>
  <c r="N10" i="2" s="1"/>
  <c r="G10" i="2"/>
  <c r="E9" i="2"/>
  <c r="G9" i="2" s="1"/>
  <c r="E8" i="2"/>
  <c r="K8" i="2" s="1"/>
  <c r="E7" i="2"/>
  <c r="E6" i="2"/>
  <c r="B11" i="4"/>
  <c r="I36" i="2" l="1"/>
  <c r="N36" i="2" s="1"/>
  <c r="I78" i="2"/>
  <c r="K51" i="2"/>
  <c r="I69" i="2"/>
  <c r="N69" i="2" s="1"/>
  <c r="G8" i="2"/>
  <c r="K41" i="2"/>
  <c r="K46" i="2"/>
  <c r="I45" i="2"/>
  <c r="I15" i="2"/>
  <c r="N15" i="2" s="1"/>
  <c r="I28" i="2"/>
  <c r="N28" i="2" s="1"/>
  <c r="K45" i="2"/>
  <c r="K79" i="2" s="1"/>
  <c r="G51" i="2"/>
  <c r="I8" i="2"/>
  <c r="N8" i="2" s="1"/>
  <c r="I20" i="2"/>
  <c r="N20" i="2" s="1"/>
  <c r="K36" i="2"/>
  <c r="G41" i="2"/>
  <c r="G78" i="2" s="1"/>
  <c r="G46" i="2"/>
  <c r="G79" i="2" s="1"/>
  <c r="I6" i="2"/>
  <c r="N6" i="2" s="1"/>
  <c r="G6" i="2"/>
  <c r="I79" i="2"/>
  <c r="N45" i="2"/>
  <c r="N79" i="2" s="1"/>
  <c r="K6" i="2"/>
  <c r="I21" i="2"/>
  <c r="N21" i="2" s="1"/>
  <c r="G21" i="2"/>
  <c r="K21" i="2"/>
  <c r="K50" i="2"/>
  <c r="K56" i="2"/>
  <c r="I56" i="2"/>
  <c r="N56" i="2" s="1"/>
  <c r="K7" i="2"/>
  <c r="I7" i="2"/>
  <c r="N7" i="2" s="1"/>
  <c r="N18" i="2"/>
  <c r="K22" i="2"/>
  <c r="I22" i="2"/>
  <c r="N22" i="2" s="1"/>
  <c r="K78" i="2"/>
  <c r="G7" i="2"/>
  <c r="I9" i="2"/>
  <c r="N9" i="2" s="1"/>
  <c r="I12" i="2"/>
  <c r="G12" i="2"/>
  <c r="G22" i="2"/>
  <c r="G76" i="2" s="1"/>
  <c r="K34" i="2"/>
  <c r="K77" i="2" s="1"/>
  <c r="I34" i="2"/>
  <c r="N34" i="2" s="1"/>
  <c r="N41" i="2"/>
  <c r="N78" i="2" s="1"/>
  <c r="N49" i="2"/>
  <c r="I69" i="3"/>
  <c r="O65" i="3"/>
  <c r="O69" i="3" s="1"/>
  <c r="I33" i="2"/>
  <c r="G33" i="2"/>
  <c r="G56" i="2"/>
  <c r="G69" i="3"/>
  <c r="K9" i="2"/>
  <c r="K12" i="2"/>
  <c r="K75" i="2" s="1"/>
  <c r="G34" i="2"/>
  <c r="I62" i="2"/>
  <c r="N62" i="2" s="1"/>
  <c r="G62" i="2"/>
  <c r="K66" i="2"/>
  <c r="K80" i="2" s="1"/>
  <c r="K82" i="2" s="1"/>
  <c r="D6" i="4" s="1"/>
  <c r="D16" i="4" s="1"/>
  <c r="I66" i="2"/>
  <c r="N66" i="2" s="1"/>
  <c r="K69" i="3"/>
  <c r="I50" i="2"/>
  <c r="N50" i="2" s="1"/>
  <c r="G15" i="2"/>
  <c r="G20" i="2"/>
  <c r="G28" i="2"/>
  <c r="G69" i="2"/>
  <c r="O56" i="3"/>
  <c r="O68" i="3" s="1"/>
  <c r="O70" i="3" s="1"/>
  <c r="E11" i="4" s="1"/>
  <c r="K83" i="2" l="1"/>
  <c r="G80" i="2"/>
  <c r="G82" i="2" s="1"/>
  <c r="B6" i="4" s="1"/>
  <c r="B16" i="4" s="1"/>
  <c r="I76" i="2"/>
  <c r="K76" i="2"/>
  <c r="K81" i="2" s="1"/>
  <c r="D5" i="4" s="1"/>
  <c r="G74" i="2"/>
  <c r="O71" i="3"/>
  <c r="E10" i="4"/>
  <c r="G77" i="2"/>
  <c r="N33" i="2"/>
  <c r="N77" i="2" s="1"/>
  <c r="I77" i="2"/>
  <c r="G71" i="3"/>
  <c r="B10" i="4"/>
  <c r="I71" i="3"/>
  <c r="C10" i="4"/>
  <c r="I74" i="2"/>
  <c r="N80" i="2"/>
  <c r="N82" i="2" s="1"/>
  <c r="E6" i="4" s="1"/>
  <c r="E16" i="4" s="1"/>
  <c r="G75" i="2"/>
  <c r="K71" i="3"/>
  <c r="D10" i="4"/>
  <c r="I80" i="2"/>
  <c r="I82" i="2" s="1"/>
  <c r="C6" i="4" s="1"/>
  <c r="C16" i="4" s="1"/>
  <c r="I75" i="2"/>
  <c r="N12" i="2"/>
  <c r="N75" i="2" s="1"/>
  <c r="N76" i="2"/>
  <c r="K72" i="3" l="1"/>
  <c r="D12" i="4" s="1"/>
  <c r="K73" i="3"/>
  <c r="D13" i="4" s="1"/>
  <c r="N83" i="2"/>
  <c r="N81" i="2"/>
  <c r="G83" i="2"/>
  <c r="G81" i="2"/>
  <c r="B5" i="4" s="1"/>
  <c r="B15" i="4" s="1"/>
  <c r="I81" i="2"/>
  <c r="C5" i="4" s="1"/>
  <c r="C15" i="4" s="1"/>
  <c r="I83" i="2"/>
  <c r="D15" i="4"/>
  <c r="K84" i="2"/>
  <c r="D7" i="4" s="1"/>
  <c r="D17" i="4" s="1"/>
  <c r="I72" i="3"/>
  <c r="C12" i="4" s="1"/>
  <c r="G72" i="3"/>
  <c r="B12" i="4" s="1"/>
  <c r="G73" i="3"/>
  <c r="B13" i="4" s="1"/>
  <c r="O72" i="3"/>
  <c r="E12" i="4" s="1"/>
  <c r="O73" i="3"/>
  <c r="E13" i="4" s="1"/>
  <c r="E5" i="4" l="1"/>
  <c r="E15" i="4" s="1"/>
  <c r="G84" i="2"/>
  <c r="B7" i="4" s="1"/>
  <c r="B17" i="4" s="1"/>
  <c r="K85" i="2"/>
  <c r="N84" i="2"/>
  <c r="E7" i="4" s="1"/>
  <c r="E17" i="4" s="1"/>
  <c r="I84" i="2"/>
  <c r="C7" i="4" s="1"/>
  <c r="C17" i="4" s="1"/>
  <c r="I73" i="3"/>
  <c r="C13" i="4" s="1"/>
  <c r="N85" i="2" l="1"/>
  <c r="E8" i="4" s="1"/>
  <c r="E18" i="4" s="1"/>
  <c r="G85" i="2"/>
  <c r="G86" i="2" s="1"/>
  <c r="N86" i="2"/>
  <c r="K86" i="2"/>
  <c r="D8" i="4"/>
  <c r="D18" i="4" s="1"/>
  <c r="I85" i="2"/>
  <c r="B8" i="4" l="1"/>
  <c r="B18" i="4" s="1"/>
  <c r="B20" i="4" s="1"/>
  <c r="B19" i="4"/>
  <c r="D20" i="4"/>
  <c r="D19" i="4"/>
  <c r="I86" i="2"/>
  <c r="C8" i="4"/>
  <c r="C18" i="4" s="1"/>
  <c r="E19" i="4"/>
  <c r="E20" i="4"/>
  <c r="C20" i="4" l="1"/>
  <c r="C19" i="4"/>
</calcChain>
</file>

<file path=xl/sharedStrings.xml><?xml version="1.0" encoding="utf-8"?>
<sst xmlns="http://schemas.openxmlformats.org/spreadsheetml/2006/main" count="1045" uniqueCount="533">
  <si>
    <t>ПАРАМЕТРЫ ОБЪЕКТА (редактируйте синие ячейки на жёлтом фоне)</t>
  </si>
  <si>
    <t>Параметр</t>
  </si>
  <si>
    <t>Значение</t>
  </si>
  <si>
    <t>Комментарий</t>
  </si>
  <si>
    <t>Общая площадь квартиры, м² (с лоджией)</t>
  </si>
  <si>
    <t>по плану кв. 312: жилая 25.4 / общая 52.4 / с лоджией 55.1</t>
  </si>
  <si>
    <t>Площадь пола под ламинат/SPC, м²</t>
  </si>
  <si>
    <t>спальня 11.7 + гостиная/детская 13.7 + кухня 10.3 + часть прихожей ≈ 6 (у входа — керамогранит, видно на видео)</t>
  </si>
  <si>
    <t>Запас на подрезку, %</t>
  </si>
  <si>
    <t>7% для прямой укладки, 10–12% для диагонали/ёлочки</t>
  </si>
  <si>
    <t>Площадь натяжных потолков, м²</t>
  </si>
  <si>
    <t>по плану: 13.7+11.7+10.3+11.8+2.8+2.1 (лоджия не считается)</t>
  </si>
  <si>
    <t>Периметр плинтуса, п.м</t>
  </si>
  <si>
    <t>спальня ≈14 + детская ≈15 + кухня-гостиная ≈21 п.м</t>
  </si>
  <si>
    <t>Розетки, шт</t>
  </si>
  <si>
    <t>типовая 2-комн. 55 м²: кухня 8–10, комнаты 6–8 каждая, коридор 2, санузлы 2</t>
  </si>
  <si>
    <t>Выключатели, шт</t>
  </si>
  <si>
    <t>Рамки, шт</t>
  </si>
  <si>
    <t>часть розеток блоками по 2–3 в одной рамке</t>
  </si>
  <si>
    <t>Точки света на потолке, шт</t>
  </si>
  <si>
    <t>точечные/трек + люстры; уточнить по вашему плану</t>
  </si>
  <si>
    <t>Санузлов, шт</t>
  </si>
  <si>
    <t>по видео: №1 с унитазом и колонкой, №2 с душевым подиумом</t>
  </si>
  <si>
    <t>Раковин, шт</t>
  </si>
  <si>
    <t>по одной в каждый санузел</t>
  </si>
  <si>
    <t>Площадь стен под обои, м²</t>
  </si>
  <si>
    <t>периметр ≈ 52 п.м (после сноса стены кухня–прихожая) × h 2.7 = 140 минус окна и проёмы ≈ 20; санузлы в плитке</t>
  </si>
  <si>
    <t>Дверей стандартных 800 мм, шт</t>
  </si>
  <si>
    <t>спальня, ванная, с/у (кухня — стена снесена, двери нет)</t>
  </si>
  <si>
    <t>Дверей широких (детская, проём расширен), шт</t>
  </si>
  <si>
    <t>двустворчатая или раздвижная — по заметке брата проём сделан широким</t>
  </si>
  <si>
    <t>Резерв на непредвиденное, %</t>
  </si>
  <si>
    <t>рекомендуется 10–15%</t>
  </si>
  <si>
    <t>Легенда:</t>
  </si>
  <si>
    <t>Синий текст на жёлтом — вводные, которые вы меняете. Чёрный — формулы. Зелёный — ссылки на другой лист.</t>
  </si>
  <si>
    <t>Цены — ориентир по Саратову на сентябрь 2026 (Лемана ПРО Саратов, Профком, Сантехника.ру Саратов, Profi.ru Саратов, сайты потолочных компаний). Перед закупкой сверьте по ссылкам на листе «Закупка_ссылки».</t>
  </si>
  <si>
    <t>1. РЕМОНТ: ПОЛ, ПОТОЛКИ, САНТЕХНИКА, ЭЛЕКТРИКА, ОБОИ, ДВЕРИ — 3 ОПЦИИ + РЕАЛ — квартира 55 м², Саратов, сентябрь 2026</t>
  </si>
  <si>
    <t>Цены за единицу (F, H, J) — синие, правьте. Столбец M «Выбор РЕАЛ» — выпадающий список МИН/СРЕД/МАКС для реалистичной сборки, столбец N считает её сумму.</t>
  </si>
  <si>
    <t>№</t>
  </si>
  <si>
    <t>Раздел</t>
  </si>
  <si>
    <t>Позиция</t>
  </si>
  <si>
    <t>Ед.</t>
  </si>
  <si>
    <t>Кол-во</t>
  </si>
  <si>
    <t>Цена МИН</t>
  </si>
  <si>
    <t>Сумма МИН</t>
  </si>
  <si>
    <t>Цена СРЕД</t>
  </si>
  <si>
    <t>Сумма СРЕД</t>
  </si>
  <si>
    <t>Цена МАКС</t>
  </si>
  <si>
    <t>Сумма МАКС</t>
  </si>
  <si>
    <t>Примечание</t>
  </si>
  <si>
    <t>Выбор РЕАЛ</t>
  </si>
  <si>
    <t>Сумма РЕАЛ</t>
  </si>
  <si>
    <t>1. ПОЛ — материалы</t>
  </si>
  <si>
    <t>1. Пол</t>
  </si>
  <si>
    <t>Напольное покрытие (ламинат / SPC)</t>
  </si>
  <si>
    <t>м²</t>
  </si>
  <si>
    <t>МИН: ламинат 32 кл 8 мм · СРЕД: ламинат 33 кл 8–10 мм влагостойкий с фаской · МАКС: SPC-кварцвинил 43 кл 4–5 мм</t>
  </si>
  <si>
    <t>СРЕД</t>
  </si>
  <si>
    <t>Подложка</t>
  </si>
  <si>
    <t>МИН: вспененный ПЭ 2 мм · СРЕД: XPS/Arbiton 3 мм · МАКС: пробка/IXPE 1.5 мм под SPC</t>
  </si>
  <si>
    <t>Плёнка пароизоляция 200 мкм</t>
  </si>
  <si>
    <t>по стяжке обязательно</t>
  </si>
  <si>
    <t>Плинтус напольный</t>
  </si>
  <si>
    <t>п.м</t>
  </si>
  <si>
    <t>МИН: ПВХ с кабель-каналом · СРЕД: МДФ/дюрополимер 80 мм · МАКС: скрытый алюминиевый / дюрополимер под покраску 100 мм</t>
  </si>
  <si>
    <t>Порожки, стыки плитка–ламинат</t>
  </si>
  <si>
    <t>компл</t>
  </si>
  <si>
    <t>у входов в коридор и санузлы (по видео там керамогранит)</t>
  </si>
  <si>
    <t>2. ПОТОЛОК — материалы и потолок «под ключ»</t>
  </si>
  <si>
    <t>2. Потолок</t>
  </si>
  <si>
    <t>Натяжной потолок с монтажом «под ключ»</t>
  </si>
  <si>
    <t>МИН: ПВХ матовый MSD · СРЕД: Bauf/тканевый + теневой профиль · МАКС: тканевый Descor + теневой профиль + парящий/световые линии</t>
  </si>
  <si>
    <t>Закладные (брус/платформы) под люстры, карнизы</t>
  </si>
  <si>
    <t>ставится ДО натяжки</t>
  </si>
  <si>
    <t>Кабель ВВГнг-LS + гофра для потолочных линий</t>
  </si>
  <si>
    <t>Светильники потолочные</t>
  </si>
  <si>
    <t>шт</t>
  </si>
  <si>
    <t>МИН: GX53 накладные · СРЕД: точечные LED + 2 люстры · МАКС: магнитный трек + дизайнерские</t>
  </si>
  <si>
    <t>Ниша ГКЛ под скрытый карниз (материалы)</t>
  </si>
  <si>
    <t>в МИН не делаем — карниз накладной</t>
  </si>
  <si>
    <t>3. САНТЕХНИКА — материалы</t>
  </si>
  <si>
    <t>3. Сантехника</t>
  </si>
  <si>
    <t>Унитаз</t>
  </si>
  <si>
    <t>МИН: компакт Cersanit Trento · СРЕД: безободковый с микролифтом Cersanit City / Roca Gap · МАКС: инсталляция Geberit Duofix + подвесной Geberit iCon/Roca</t>
  </si>
  <si>
    <t>Раковина (умывальник)</t>
  </si>
  <si>
    <t>Смеситель для раковины</t>
  </si>
  <si>
    <t>МИН: Iddis/Esko · СРЕД: Lemark Plus / Grohe BauEdge · МАКС: Hansgrohe Talis / Grohe Essence</t>
  </si>
  <si>
    <t>Сифон + подводки для раковины</t>
  </si>
  <si>
    <t>Тумба под раковину</t>
  </si>
  <si>
    <t>МИН: Sensea/Runo · СРЕД: Aquaton/Style Line · МАКС: Jacob Delafon / Cezares</t>
  </si>
  <si>
    <t>Смеситель для душа + душевая стойка</t>
  </si>
  <si>
    <t>выводы под смеситель на видео готовы (открытый монтаж)</t>
  </si>
  <si>
    <t>Ограждение душевого подиума</t>
  </si>
  <si>
    <t>МИН: штанга + шторка · СРЕД: стекло 8 мм на заказ (Walk-In) · МАКС: стекло 10 мм + дверь, чёрная/латунная фурнитура</t>
  </si>
  <si>
    <t>Гигиенический душ</t>
  </si>
  <si>
    <t>Полотенцесушитель электрический</t>
  </si>
  <si>
    <t>электрический — под него нужна розетка/вывод</t>
  </si>
  <si>
    <t>Зеркало / зеркальный шкаф</t>
  </si>
  <si>
    <t>Вентилятор вытяжной</t>
  </si>
  <si>
    <t>МАКС: Soler&amp;Palau Silent с таймером</t>
  </si>
  <si>
    <t>Аксессуары (держатели, ёршик, крючки, дозатор)</t>
  </si>
  <si>
    <t>Люк ревизионный к колонке/стоякам</t>
  </si>
  <si>
    <t>МАКС: нажимной скрытый под плитку</t>
  </si>
  <si>
    <t>Расходники (краны, гибкая подводка, ФУМ, силикон)</t>
  </si>
  <si>
    <t>4. ЭЛЕКТРИКА — материалы</t>
  </si>
  <si>
    <t>4. Электрика</t>
  </si>
  <si>
    <t>Розетка (механизм)</t>
  </si>
  <si>
    <t>МИН: Systeme Electric Этюд/Glossa · СРЕД: Werkel / AtlasDesign · МАКС: Legrand Valena Life / Jung / Gira</t>
  </si>
  <si>
    <t>Выключатель (механизм)</t>
  </si>
  <si>
    <t>Рамки</t>
  </si>
  <si>
    <t>Подрозетники</t>
  </si>
  <si>
    <t>если уже вмурованы — поставьте 0</t>
  </si>
  <si>
    <t>Щит в сборе (бокс, автоматы, УЗО/дифы, реле напряжения)</t>
  </si>
  <si>
    <t>МИН: IEK/EKF · СРЕД: Schneider Easy9 / ABB Basic M + реле напряжения · МАКС: ABB S200 / Hager + дифавтоматы + УЗИП</t>
  </si>
  <si>
    <t>Кабель на доделку линий</t>
  </si>
  <si>
    <t>Выделенная линия на электроварочную (ВВГнг 3×6 + автомат 32А + розетка 32А)</t>
  </si>
  <si>
    <t>варочная электрическая — обязательна отдельная линия от щита</t>
  </si>
  <si>
    <t>5. ФИНИШ СТЕН (ОБОИ) — материалы</t>
  </si>
  <si>
    <t>5. Стены</t>
  </si>
  <si>
    <t>Обои</t>
  </si>
  <si>
    <t>МИН: виниловые на флизелине (Лемана, ~1 100 ₽/рулон 5.3 м²) · СРЕД: флизелиновые Erismann/Marburg, под подбор рисунка · МАКС: дизайнерские/текстильные, широкий рулон. Расход ≈ +10% на подбор</t>
  </si>
  <si>
    <t>Клей, грунт, малярные расходники</t>
  </si>
  <si>
    <t>Акцентная стена (краска/панели/декоративка) — зал и детская</t>
  </si>
  <si>
    <t>в МИН не делаем; СРЕД: краска + рейки; МАКС: микроцемент/панели</t>
  </si>
  <si>
    <t>6. ДВЕРИ — материалы, поштучно</t>
  </si>
  <si>
    <t>6. Двери</t>
  </si>
  <si>
    <t>Дверь стандартная 800 мм: полотно + короб + наличники + ручка + петли</t>
  </si>
  <si>
    <t>спальня, ванная, с/у · МИН: ламинированные Лемана · СРЕД: экошпон/ПВХ с врезкой · МАКС: эмаль/шпон, скрытый короб. В санузлы — влагостойкое полотно</t>
  </si>
  <si>
    <t>Дверь широкая в детскую (двустворчатая 1200–1400 или раздвижная): полотна + короб + фурнитура</t>
  </si>
  <si>
    <t>проём расширен — двустворчатая экошпон (СРЕД) или раздвижная в пенале/стеклянная (МАКС). МИН — распашная двустворчатая ламинированная</t>
  </si>
  <si>
    <t>Доборы, порожки, уплотнители</t>
  </si>
  <si>
    <t>доборы нужны при толщине стены &gt; 70 мм</t>
  </si>
  <si>
    <t>7. РАБОТЫ — отдельной статьёй</t>
  </si>
  <si>
    <t>7. Работы</t>
  </si>
  <si>
    <t>Подготовка основания пола (грунт, ровнитель)</t>
  </si>
  <si>
    <t>МАКС: тонкий наливной пол по всей площади</t>
  </si>
  <si>
    <t>Укладка напольного покрытия</t>
  </si>
  <si>
    <t>Profi.ru Саратов: от 200–300 ₽/м²; МАКС — SPC/диагональ</t>
  </si>
  <si>
    <t>Монтаж плинтуса</t>
  </si>
  <si>
    <t>Электрика под потолок (разводка точек света)</t>
  </si>
  <si>
    <t>делается ДО натяжного потолка</t>
  </si>
  <si>
    <t>Ниша ГКЛ под скрытый карниз</t>
  </si>
  <si>
    <t>Монтаж натяжного потолка</t>
  </si>
  <si>
    <t>уже входит в цену «под ключ» в разделе 2</t>
  </si>
  <si>
    <t>Установка унитаза</t>
  </si>
  <si>
    <t>МАКС — с инсталляцией и коробом</t>
  </si>
  <si>
    <t>Установка раковины со смесителем и тумбой</t>
  </si>
  <si>
    <t>Подключение душевого смесителя/стойки</t>
  </si>
  <si>
    <t>Установка полотенцесушителя</t>
  </si>
  <si>
    <t>Установка гигиенического душа</t>
  </si>
  <si>
    <t>Монтаж ограждения душевой</t>
  </si>
  <si>
    <t>у стекольщиков часто входит в цену стекла</t>
  </si>
  <si>
    <t>Люк, вентиляторы, мелкие подключения</t>
  </si>
  <si>
    <t>Установка розеток и выключателей</t>
  </si>
  <si>
    <t>Сборка и подключение щита</t>
  </si>
  <si>
    <t>Монтаж линии на варочную панель</t>
  </si>
  <si>
    <t>Прозвонка, маркировка, проверка линий</t>
  </si>
  <si>
    <t>Поклейка обоев</t>
  </si>
  <si>
    <t>МАКС — обои с подбором/текстиль</t>
  </si>
  <si>
    <t>Акцентная стена (работа)</t>
  </si>
  <si>
    <t>Установка стандартной двери</t>
  </si>
  <si>
    <t>Установка широкой/раздвижной двери</t>
  </si>
  <si>
    <t>Финальная уборка (клининг)</t>
  </si>
  <si>
    <t>Доставка, подъём, вынос мусора</t>
  </si>
  <si>
    <t>ИТОГИ ПО РАЗДЕЛАМ</t>
  </si>
  <si>
    <t>МАТЕРИАЛЫ + ПОТОЛОК + ОБОИ + ДВЕРИ (разделы 1–6)</t>
  </si>
  <si>
    <t>РАБОТЫ (раздел 7)</t>
  </si>
  <si>
    <t>ВСЕГО БЕЗ РЕЗЕРВА</t>
  </si>
  <si>
    <t>Резерв на непредвиденное</t>
  </si>
  <si>
    <t>ИТОГО С РЕЗЕРВОМ</t>
  </si>
  <si>
    <t>Стоимость 1 м² квартиры (с резервом)</t>
  </si>
  <si>
    <t>Входная дверь стоит — не считаем. Кухня, мебель, техника — на листе 2_Заезд. Не учтено: демонтаж/перенос стен (по заметке брата уже сделано), окна, лоджия, стояки.</t>
  </si>
  <si>
    <t>2. ЧТОБЫ ЗАЕХАТЬ: КУХНЯ, СПАЛЬНЯ, ДЕТСКАЯ, ЗАЛ, ПРИХОЖАЯ, ТЕХНИКА — 3 ОПЦИИ</t>
  </si>
  <si>
    <t>Цены (F, H, J) и количество (E) — синие, правьте. Ссылки — столбец M. Столбец N «Выбор РЕАЛ» — выпадающий список МИН/СРЕД/МАКС, столбец O — сумма реалистичной сборки.</t>
  </si>
  <si>
    <t>Где купить</t>
  </si>
  <si>
    <t>К. КУХНЯ</t>
  </si>
  <si>
    <t>Кухня</t>
  </si>
  <si>
    <t>Кухонный гарнитур</t>
  </si>
  <si>
    <t>МИН: модульная Hoff «Амика»/«Барселона» 2.4–3 м или Лемана Delinia · СРЕД: Hoff на заказ (студия планирования в Happy Молл, Саратов) / Лемана на заказ, ЛДСП+МДФ-плёнка · МАКС: фабрика «Мария»</t>
  </si>
  <si>
    <t>https://hoff.ru/catalog/kukhonnye-garnitury/modulnye-kukhonnye-garnitury/</t>
  </si>
  <si>
    <t>МИН</t>
  </si>
  <si>
    <t>Столешница</t>
  </si>
  <si>
    <t>МИН: ЛДСП 28 мм Лемана/Hoff · СРЕД: ЛДСП 38 мм / компакт-плита · МАКС: кварцевый агломерат</t>
  </si>
  <si>
    <t>https://hoff.ru/catalog/kuhnya/kuhonnye_garnitury/</t>
  </si>
  <si>
    <t>Фартук (плитка / стекло / компакт)</t>
  </si>
  <si>
    <t>по видео стена кухни без фартука</t>
  </si>
  <si>
    <t>https://saratov.lemanapro.ru/</t>
  </si>
  <si>
    <t>Мойка + смеситель</t>
  </si>
  <si>
    <t>МИН: нерж. накладная · СРЕД: врезная гранит + Lemark · МАКС: Blanco/Omoikiri + Grohe</t>
  </si>
  <si>
    <t>Варочная панель электрическая (индукция)</t>
  </si>
  <si>
    <t>МИН: Hansa/Weissgauff стеклокерамика · СРЕД: Bosch/Electrolux индукция · МАКС: Bosch Serie 8 / Miele. Нужна отдельная линия 32А — учтена на листе 1_Ремонт</t>
  </si>
  <si>
    <t>https://www.dns-shop.ru/?city=saratov</t>
  </si>
  <si>
    <t>Духовой шкаф</t>
  </si>
  <si>
    <t>Вытяжка</t>
  </si>
  <si>
    <t>Холодильник</t>
  </si>
  <si>
    <t>МИН: Indesit/Atlant · СРЕД: Haier/LG NoFrost · МАКС: Bosch/Liebherr</t>
  </si>
  <si>
    <t>Посудомоечная машина</t>
  </si>
  <si>
    <t>в МИН не берём</t>
  </si>
  <si>
    <t>Микроволновка</t>
  </si>
  <si>
    <t>Обеденный стол + стулья (4 шт)</t>
  </si>
  <si>
    <t>Hoff Саратов — Happy Молл, Вольский тракт 2</t>
  </si>
  <si>
    <t>https://hoff.ru/catalog/mebel/</t>
  </si>
  <si>
    <t>Посуда, кухонная утварь, текстиль</t>
  </si>
  <si>
    <t>С. СПАЛЬНЯ</t>
  </si>
  <si>
    <t>Спальня</t>
  </si>
  <si>
    <t>Кровать 160×200 с основанием</t>
  </si>
  <si>
    <t>МИН: Hoff/Шатура ЛДСП · СРЕД: мягкое изголовье, подъёмный механизм · МАКС: Аскона/массив</t>
  </si>
  <si>
    <t>Матрас 160×200</t>
  </si>
  <si>
    <t>МИН: пружинный · СРЕД: независимые пружины Аскона · МАКС: ортопедический премиум</t>
  </si>
  <si>
    <t>Шкаф для одежды</t>
  </si>
  <si>
    <t>МИН: распашной ЛДСП · СРЕД: купе 2 м · МАКС: встроенный на заказ</t>
  </si>
  <si>
    <t>Прикроватные тумбы</t>
  </si>
  <si>
    <t>Комод</t>
  </si>
  <si>
    <t>Шторы + карниз</t>
  </si>
  <si>
    <t>СРЕД/МАКС — под скрытый карниз в потолке (см. лист 1_Ремонт)</t>
  </si>
  <si>
    <t>Постельное, подушки, одеяло</t>
  </si>
  <si>
    <t>Бра / настольные светильники</t>
  </si>
  <si>
    <t>Д. ДЕТСКАЯ</t>
  </si>
  <si>
    <t>Детская</t>
  </si>
  <si>
    <t>Кровать раздвижная (растущая) 80×130→190</t>
  </si>
  <si>
    <t>МИН: раздвижная ЛДСП Hoff/Шатура · СРЕД: с ящиками и мягким изголовьем (Аскона/Hoff) · МАКС: на заказ / массив. Матрас — тоже раздвижной/секционный</t>
  </si>
  <si>
    <t>Матрас для раздвижной кровати (секционный)</t>
  </si>
  <si>
    <t>секции 80×130 + 80×60 или два матраса</t>
  </si>
  <si>
    <t>Письменный стол + стул</t>
  </si>
  <si>
    <t>СРЕД/МАКС — растущий стол, ортопедический стул</t>
  </si>
  <si>
    <t>Шкаф</t>
  </si>
  <si>
    <t>Стеллаж / полки</t>
  </si>
  <si>
    <t>Ковёр</t>
  </si>
  <si>
    <t>Текстиль (постельное, подушки)</t>
  </si>
  <si>
    <t>Освещение (настольная лампа, ночник)</t>
  </si>
  <si>
    <t>З. ЗАЛ</t>
  </si>
  <si>
    <t>Зал</t>
  </si>
  <si>
    <t>Диван</t>
  </si>
  <si>
    <t>МИН: прямой еврокнижка · СРЕД: угловой с независимым пружинным блоком · МАКС: модульный, ткань antiklaw</t>
  </si>
  <si>
    <t>https://hoff.ru/catalog/gostinaya/divany/</t>
  </si>
  <si>
    <t>Телевизор</t>
  </si>
  <si>
    <t>МИН: 43–50" 4K (Haier/Xiaomi) · СРЕД: 55" 4K (Samsung/LG) · МАКС: 65–75" OLED/QLED</t>
  </si>
  <si>
    <t>https://www.dns-shop.ru/catalog/17a8ae1316404e77/televizory-i-aksessuary/</t>
  </si>
  <si>
    <t>Кронштейн / ТВ-тумба</t>
  </si>
  <si>
    <t>закладная под кронштейн — в стену, не в потолок</t>
  </si>
  <si>
    <t>Журнальный стол</t>
  </si>
  <si>
    <t>Стеллаж / шкаф / стенка</t>
  </si>
  <si>
    <t>Кресло</t>
  </si>
  <si>
    <t>Торшер / бра</t>
  </si>
  <si>
    <t>П. ПРИХОЖАЯ И ОБЩЕЕ</t>
  </si>
  <si>
    <t>Прихожая</t>
  </si>
  <si>
    <t>Шкаф / вешалка + обувница</t>
  </si>
  <si>
    <t>МАКС — встроенный на заказ</t>
  </si>
  <si>
    <t>Зеркало</t>
  </si>
  <si>
    <t>Общее</t>
  </si>
  <si>
    <t>Стиральная машина</t>
  </si>
  <si>
    <t>место — санузел №1 или кухня; нужен вывод воды и розетка</t>
  </si>
  <si>
    <t>Пылесос</t>
  </si>
  <si>
    <t>МАКС — робот + вертикальный</t>
  </si>
  <si>
    <t>Роутер / интернет-подключение</t>
  </si>
  <si>
    <t>Полотенца, коврики в санузлы</t>
  </si>
  <si>
    <t>Утюг, гладильная доска, сушилка</t>
  </si>
  <si>
    <t>Р. РАБОТЫ ПО ОБУСТРОЙСТВУ — отдельной статьёй</t>
  </si>
  <si>
    <t>Работы</t>
  </si>
  <si>
    <t>Сборка и установка кухни, подключение техники</t>
  </si>
  <si>
    <t>у «Марии» и при заказе на фабрике часто входит в цену — уточнить</t>
  </si>
  <si>
    <t>Сборка мебели (кровати, шкафы, детская, зал)</t>
  </si>
  <si>
    <t>Hoff: сборка от 899 ₽ за единицу</t>
  </si>
  <si>
    <t>Навес карнизов, кронштейна ТВ, зеркал, полок</t>
  </si>
  <si>
    <t>Подключение стиральной машины</t>
  </si>
  <si>
    <t>Доставка и подъём мебели и техники</t>
  </si>
  <si>
    <t>ЗАКУПКА (мебель, техника, текстиль)</t>
  </si>
  <si>
    <t>РАБОТЫ ПО ОБУСТРОЙСТВУ</t>
  </si>
  <si>
    <t>Допущения: 1 двуспальная кровать, 1 детская кровать (один ребёнок), варочная панель электрическая (индукция), под неё отдельная линия 32А заложена в 1_Ремонт, стиральная машина одна. Кухня «Мария» — саратовская фабрика, базовые компоновки на сайте от ~150 тыс.; шоу-рум и экскурсия на фабрику в Саратове.</t>
  </si>
  <si>
    <t>3. САММАРИ: СКОЛЬКО ВСЕГО НУЖНО ДЕНЕГ — квартира 55 м², Саратов</t>
  </si>
  <si>
    <t>Все цифры — формулы с листов 1_Ремонт и 2_Заезд. Меняйте цены там — здесь пересчитается.</t>
  </si>
  <si>
    <t>Блок</t>
  </si>
  <si>
    <t>МАКС</t>
  </si>
  <si>
    <t>РЕАЛ (сборка)</t>
  </si>
  <si>
    <t>1. РЕМОНТ — материалы (пол, потолок, сантехника, электрика, обои, двери)</t>
  </si>
  <si>
    <t>включая натяжной потолок «под ключ»</t>
  </si>
  <si>
    <t>1. РЕМОНТ — работы</t>
  </si>
  <si>
    <t>1. РЕМОНТ — резерв</t>
  </si>
  <si>
    <t>процент задаётся на листе Параметры</t>
  </si>
  <si>
    <t>1. РЕМОНТ — ИТОГО</t>
  </si>
  <si>
    <t>лист 1_Ремонт</t>
  </si>
  <si>
    <t>2. ЗАЕЗД — закупка (кухня, мебель, техника, текстиль)</t>
  </si>
  <si>
    <t>2. ЗАЕЗД — работы (сборка, подключение, доставка)</t>
  </si>
  <si>
    <t>2. ЗАЕЗД — резерв</t>
  </si>
  <si>
    <t>2. ЗАЕЗД — ИТОГО</t>
  </si>
  <si>
    <t>лист 2_Заезд</t>
  </si>
  <si>
    <t>ВСЕГО МАТЕРИАЛЫ + ЗАКУПКА</t>
  </si>
  <si>
    <t>ВСЕГО РАБОТЫ</t>
  </si>
  <si>
    <t>ВСЕГО РЕЗЕРВ</t>
  </si>
  <si>
    <t>ОБЩИЙ ИТОГ: РЕМОНТ + ЗАЕЗД</t>
  </si>
  <si>
    <t>с резервом</t>
  </si>
  <si>
    <t>На 1 м² квартиры</t>
  </si>
  <si>
    <t>Доля ремонта в общем итоге</t>
  </si>
  <si>
    <t>РЕАЛ (сборка) — реалистичная колонка: ремонт по СРЕД (обои флизелиновые); заезд — кухня модульная Hoff/Лемана по МИН; холодильник, ПММ, индукция, диван, ТВ, матрасы, детская кровать и стол по СРЕД, остальная мебель и мелкая техника по МИН. Меняется выпадающими списками в столбцах M (1_Ремонт) и N (2_Заезд).</t>
  </si>
  <si>
    <t>Учтено всё до заезда: ремонт (включая обои, двери, уборку) + кухня, мебель, техника. Входная дверь стоит — не считаем. Не учтено: окна, лоджия, стояки.</t>
  </si>
  <si>
    <t>Как пользоваться: 1) Параметры — площади и количества; 2) 1_Ремонт и 2_Заезд — цены под выбранные товары и выбор МИН/СРЕД/МАКС для колонки РЕАЛ; 3) закупка по ссылкам с листов Закупка_ссылки и 2_Заезд (столбец M).</t>
  </si>
  <si>
    <t>ПЛАНИРОВКА ПО ПЛАНУ КВ. 312 (2-комн., 55.1 м²) И ПРАВКИ БРАТА</t>
  </si>
  <si>
    <t>Помещение</t>
  </si>
  <si>
    <t>По плану, м²</t>
  </si>
  <si>
    <t>После правок, м²</t>
  </si>
  <si>
    <t>Назначение в проекте</t>
  </si>
  <si>
    <t>Что изменено</t>
  </si>
  <si>
    <t>Спальня родителей + выход на лоджию</t>
  </si>
  <si>
    <t>—</t>
  </si>
  <si>
    <t>Гостиная</t>
  </si>
  <si>
    <t>ДЕТСКАЯ (изолированная комната, широкий проём — двустворчатая дверь)</t>
  </si>
  <si>
    <t>стена №2 сдвинута в сторону гостиной ≈ на 0.4 м (≈ –1.5 м²); проём №3 расширен</t>
  </si>
  <si>
    <t>Кухня-гостиная: кухня + обеденная зона</t>
  </si>
  <si>
    <t>стена №1 (кухня–прихожая) снесена; +1.5 м² от гостиной</t>
  </si>
  <si>
    <t>Прихожая у входа (плитка) + зона зала: диван, ТВ</t>
  </si>
  <si>
    <t>объединена с кухней в единое пространство ≈ 23.6 м²</t>
  </si>
  <si>
    <t>Ванная</t>
  </si>
  <si>
    <t>Душевая с подиумом + раковина (по видео)</t>
  </si>
  <si>
    <t>ванна заменена на душевой подиум</t>
  </si>
  <si>
    <t>С/у</t>
  </si>
  <si>
    <t>Унитаз + раковина + газовая колонка (по видео)</t>
  </si>
  <si>
    <t>Лоджия</t>
  </si>
  <si>
    <t>Утеплённая — кабинет/хранение</t>
  </si>
  <si>
    <t>Итого без лоджии</t>
  </si>
  <si>
    <t>Заметка брата (22.02.26): 1) стены кухня–прихожая не будет; 2) стену гостиной сдвинул к гостиной — кухня больше, потом детская; 3) дверной проём сделал широким, чтобы пространство казалось больше.</t>
  </si>
  <si>
    <t>Выведенные величины для сметы: ламинат 42 м², потолки 52.4 м², плинтус 50 п.м, обои 120 м², двери 3 стандартных + 1 широкая. Дизайн-концепция по 3 опциям — в отдельном документе Word.</t>
  </si>
  <si>
    <t>ЧТО ИМЕННО КУПИТЬ И ГДЕ — Саратов</t>
  </si>
  <si>
    <t>Ссылки ведут в каталоги магазинов с доставкой/самовывозом в Саратове. Ищите указанную модель/серию через поиск на сайте — конкретные артикулы и цены меняются, сверяйте перед оплатой.</t>
  </si>
  <si>
    <t>Опция</t>
  </si>
  <si>
    <t>Что купить (модель / серия)</t>
  </si>
  <si>
    <t>Ориентир цены</t>
  </si>
  <si>
    <t>Магазин</t>
  </si>
  <si>
    <t>Ссылка</t>
  </si>
  <si>
    <t>Напольное покрытие</t>
  </si>
  <si>
    <t>Ламинат 32 кл 8 мм: Kronostar Symbio / Artfloor / Kronostep</t>
  </si>
  <si>
    <t>700–850 ₽/м²</t>
  </si>
  <si>
    <t>Лемана ПРО Саратов</t>
  </si>
  <si>
    <t>https://saratov.lemanapro.ru/catalogue/laminat/klass-33/</t>
  </si>
  <si>
    <t>Альтернатива: Профком Саратов, ламинат 33 кл</t>
  </si>
  <si>
    <t>от 700 ₽/м²</t>
  </si>
  <si>
    <t>Профком Саратов</t>
  </si>
  <si>
    <t>https://www.profkom64.ru/product/napolnie_pokritiya/laminat-33-klass/</t>
  </si>
  <si>
    <t>Ламинат 33 кл 8–10 мм с фаской, влагостойкий: Egger Home / Tarkett / Kastamonu</t>
  </si>
  <si>
    <t>1 000–1 400 ₽/м²</t>
  </si>
  <si>
    <t>SPC-кварцвинил 43 кл 4–5 мм: Alpine Floor / Aquafloor / Quick-Step Alpha</t>
  </si>
  <si>
    <t>1 800–2 800 ₽/м²</t>
  </si>
  <si>
    <t>Паркет73 Саратов</t>
  </si>
  <si>
    <t>https://saratov.parket73.ru/spc-laminat/</t>
  </si>
  <si>
    <t>SPC / кварцвинил, большой выбор коллекций</t>
  </si>
  <si>
    <t>от 1 790 ₽/м²</t>
  </si>
  <si>
    <t>Олимп Паркета Саратов</t>
  </si>
  <si>
    <t>https://saratov.olimp-parketa.ru/catalog/kvarc-vinilovyy-laminat/</t>
  </si>
  <si>
    <t>Подложка, плёнка, плинтус</t>
  </si>
  <si>
    <t>ВСЕ</t>
  </si>
  <si>
    <t>Подложка ПЭ 2 мм / XPS 3 мм / пробка; плёнка 200 мкм; плинтус ПВХ / МДФ / дюрополимер — раздел «Напольные покрытия»</t>
  </si>
  <si>
    <t>см. смету</t>
  </si>
  <si>
    <t>Натяжной потолок</t>
  </si>
  <si>
    <t>ПВХ матовый MSD Classic, белый, обычный профиль</t>
  </si>
  <si>
    <t>300–450 ₽/м² с монтажом</t>
  </si>
  <si>
    <t>Потолочные компании Саратова (сравнение 72 фирм)</t>
  </si>
  <si>
    <t>https://saratov.potolochek.su/prices</t>
  </si>
  <si>
    <t>МИН/СРЕД</t>
  </si>
  <si>
    <t>Прайс: MSD от 293 ₽/м², Bauf от 460 ₽/м², Teqtum от 990 ₽/м²</t>
  </si>
  <si>
    <t>по прайсу</t>
  </si>
  <si>
    <t>СуперПотолок Саратов</t>
  </si>
  <si>
    <t>https://superpotolok.ru/ceny/</t>
  </si>
  <si>
    <t>Полотно Bauf / тканевый + теневой профиль EuroKraab</t>
  </si>
  <si>
    <t>800–1 100 ₽/м²</t>
  </si>
  <si>
    <t>РВС-Сервис Саратов</t>
  </si>
  <si>
    <t>https://potolki-rvs.ru/ceny</t>
  </si>
  <si>
    <t>Тканевый Descor/Clipso + теневой профиль + световые линии/парящий</t>
  </si>
  <si>
    <t>1 500–2 500 ₽/м²</t>
  </si>
  <si>
    <t>НатПотолокСрт</t>
  </si>
  <si>
    <t>https://saratov.natpotolok.ru/matovyj-potolok</t>
  </si>
  <si>
    <t>Светильники</t>
  </si>
  <si>
    <t>GX53 (МИН) / точечные LED (СРЕД) / магнитный трек (МАКС) — раздел «Освещение»</t>
  </si>
  <si>
    <t>Cersanit Trento компакт / Sanita Luxe / Rosa</t>
  </si>
  <si>
    <t>6 000–9 000 ₽</t>
  </si>
  <si>
    <t>https://saratov.lemanapro.ru/catalogue/unitazy-i-bide/</t>
  </si>
  <si>
    <t>Cersanit City Clean On / Roca Gap Clean Rim, безободковый, микролифт</t>
  </si>
  <si>
    <t>15 000–22 000 ₽</t>
  </si>
  <si>
    <t>Cersanit — официальный магазин, доставка по РФ</t>
  </si>
  <si>
    <t>по каталогу</t>
  </si>
  <si>
    <t>Cershop</t>
  </si>
  <si>
    <t>https://cershop.ru/unitazy/</t>
  </si>
  <si>
    <t>Инсталляция Geberit Duofix + подвесной Geberit iCon / Roca Inspira / Laufen Pro</t>
  </si>
  <si>
    <t>40 000–60 000 ₽</t>
  </si>
  <si>
    <t>Сантехника.ру Саратов</t>
  </si>
  <si>
    <t>https://saratov.santehnica.ru/brand/lemark/</t>
  </si>
  <si>
    <t>Cersanit на Ozon (сравнение цен, доставка в Саратов)</t>
  </si>
  <si>
    <t>Ozon</t>
  </si>
  <si>
    <t>https://www.ozon.ru/category/unitazy-10276/cersanit-33479360/</t>
  </si>
  <si>
    <t>Смесители</t>
  </si>
  <si>
    <t>Iddis / Esko / Frap — раковина и душ</t>
  </si>
  <si>
    <t>2 000–4 000 ₽</t>
  </si>
  <si>
    <t>https://saratov.lemanapro.ru/catalogue/smesiteli-dlya-vannoy-komnaty/</t>
  </si>
  <si>
    <t>Профком Саратов, смесители</t>
  </si>
  <si>
    <t>от 1 500 ₽</t>
  </si>
  <si>
    <t>https://www.profkom64.ru/product/santehnika/smesiteli/</t>
  </si>
  <si>
    <t>Lemark Plus Advance / Unit; Grohe BauEdge / Eurosmart; душевая система Lemark Tropic</t>
  </si>
  <si>
    <t>6 000–15 000 ₽</t>
  </si>
  <si>
    <t>Hansgrohe Talis / Logis; Grohe Essence; душевая система Hansgrohe Croma / Grohe Euphoria</t>
  </si>
  <si>
    <t>18 000–45 000 ₽</t>
  </si>
  <si>
    <t>Сантехника-Онлайн (доставка в Саратов)</t>
  </si>
  <si>
    <t>https://santehnika-online.ru/smesiteli/brand-lemark/serija-unit/</t>
  </si>
  <si>
    <t>Раковины и тумбы</t>
  </si>
  <si>
    <t>Sensea / Runo тумба 50–60 см с раковиной в комплекте</t>
  </si>
  <si>
    <t>Aquaton / Style Line / Санта, подвесная тумба 60–80 см + раковина</t>
  </si>
  <si>
    <t>18 000–30 000 ₽</t>
  </si>
  <si>
    <t>Jacob Delafon / Cezares / Vincea + раковина-чаша</t>
  </si>
  <si>
    <t>45 000–70 000 ₽</t>
  </si>
  <si>
    <t>https://www.santehnica.ru/</t>
  </si>
  <si>
    <t>Ограждение душа</t>
  </si>
  <si>
    <t>Штанга + шторка</t>
  </si>
  <si>
    <t>Стекло 8 мм закалённое Walk-In на заказ по вашему подиуму (по видео ≈ 90×90). Искать: 2ГИС/Авито Саратов «стеклянные душевые перегородки»</t>
  </si>
  <si>
    <t>25 000–35 000 ₽ с монтажом</t>
  </si>
  <si>
    <t>Стекольные мастерские Саратова</t>
  </si>
  <si>
    <t>Стекло 10 мм + распашная дверь, чёрная/латунная фурнитура; готовые Walk-In Ravak / Vincea</t>
  </si>
  <si>
    <t>50 000–80 000 ₽</t>
  </si>
  <si>
    <t>Сантехника.ру</t>
  </si>
  <si>
    <t>Розетки/выключатели</t>
  </si>
  <si>
    <t>Systeme Electric Этюд / Glossa (бывш. Schneider)</t>
  </si>
  <si>
    <t>150–250 ₽/шт</t>
  </si>
  <si>
    <t>https://saratov.lemanapro.ru/catalogue/rozetki-i-vyklyuchateli/rozetki-schneider-electric/</t>
  </si>
  <si>
    <t>Werkel / Systeme Electric AtlasDesign</t>
  </si>
  <si>
    <t>600–1 000 ₽/шт</t>
  </si>
  <si>
    <t>Legrand Valena Life / Jung A550 / Gira E2</t>
  </si>
  <si>
    <t>1 800–3 000 ₽/шт</t>
  </si>
  <si>
    <t>Электротовары.ру (доставка)</t>
  </si>
  <si>
    <t>https://elektro-tovars.ru/catalog/rozetki-vyklyuchateli/schneider-electric-rozetki-vyklyuchateli</t>
  </si>
  <si>
    <t>Щит и автоматы</t>
  </si>
  <si>
    <t>IEK / EKF, бокс на 24–36 модулей</t>
  </si>
  <si>
    <t>8 000–10 000 ₽</t>
  </si>
  <si>
    <t>https://saratov.lemanapro.ru/catalogue/avtomaticheskie-vyklyuchateli/schneider-electric/</t>
  </si>
  <si>
    <t>Schneider Easy9 / ABB Basic M + УЗО + реле напряжения</t>
  </si>
  <si>
    <t>20 000–30 000 ₽</t>
  </si>
  <si>
    <t>Виниловые на флизелине Палитра/Elysium — раздел «Обои»</t>
  </si>
  <si>
    <t>≈ 200 ₽/м²</t>
  </si>
  <si>
    <t>Флизелиновые Erismann / Marburg / AS Creation</t>
  </si>
  <si>
    <t>≈ 450 ₽/м²</t>
  </si>
  <si>
    <t>Дизайнерские / текстильные, широкий рулон 1.06 м</t>
  </si>
  <si>
    <t>от 1 200 ₽/м²</t>
  </si>
  <si>
    <t>Hoff / салоны обоев Саратова</t>
  </si>
  <si>
    <t>Двери межкомнатные</t>
  </si>
  <si>
    <t>Ламинированные с коробом и наличниками — раздел «Двери»</t>
  </si>
  <si>
    <t>Экошпон / ПВХ (Profilo Porte, Uberture) с врезкой</t>
  </si>
  <si>
    <t>16 000–22 000 ₽</t>
  </si>
  <si>
    <t>Эмаль / шпон, скрытый короб, раздвижная система в пенал</t>
  </si>
  <si>
    <t>40 000–90 000 ₽</t>
  </si>
  <si>
    <t>Салоны дверей Саратова</t>
  </si>
  <si>
    <t>Мебель, кухни Hoff</t>
  </si>
  <si>
    <t>Hoff Саратов — Happy Молл, Вольский тракт 2 (открыт с 2025, есть студия планирования кухонь)</t>
  </si>
  <si>
    <t>Hoff Саратов</t>
  </si>
  <si>
    <t>ABB S200 / Hager, дифавтоматы на каждую группу, реле напряжения, УЗИП</t>
  </si>
  <si>
    <t>50 000–70 000 ₽</t>
  </si>
  <si>
    <t>Электротовары.ру</t>
  </si>
  <si>
    <t>РАСЦЕНКИ НА РАБОТЫ И ГДЕ ИСКАТЬ МАСТЕРОВ — Саратов</t>
  </si>
  <si>
    <t>Вид работ</t>
  </si>
  <si>
    <t>Ориентир цены (Саратов, 2026)</t>
  </si>
  <si>
    <t>Где искать</t>
  </si>
  <si>
    <t>Что проверить у мастера</t>
  </si>
  <si>
    <t>Укладка ламината / SPC</t>
  </si>
  <si>
    <t>200–500 ₽/м² (SPC и диагональ дороже)</t>
  </si>
  <si>
    <t>Profi.ru Саратов</t>
  </si>
  <si>
    <t>https://profi.ru/geo-saratov/remont/pol/ukladka-laminata/price/</t>
  </si>
  <si>
    <t>перепад стяжки ≤ 2 мм на 2 м; ламинат должен отлежаться 48 ч</t>
  </si>
  <si>
    <t>Укладка ламината — бригада с замером</t>
  </si>
  <si>
    <t>от 285 ₽/м²</t>
  </si>
  <si>
    <t>S5R Саратов</t>
  </si>
  <si>
    <t>https://saratov.s5r.ru/ukladka-laminata</t>
  </si>
  <si>
    <t>бесплатный замер и смета</t>
  </si>
  <si>
    <t>Натяжные потолки под ключ</t>
  </si>
  <si>
    <t>300–450 ₽/м² МИН; 800–1 100 СРЕД; 1 500+ МАКС</t>
  </si>
  <si>
    <t>СуперПотолок / РВС-Сервис / НатПотолокСрт</t>
  </si>
  <si>
    <t>обвод труб, углы, закладные — считаются отдельно, требуйте полную смету</t>
  </si>
  <si>
    <t>Плиточник / сантехник / электрик</t>
  </si>
  <si>
    <t>плиточники от 800 ₽/м²; сантехника и электрика — по точкам</t>
  </si>
  <si>
    <t>https://profi.ru/geo-saratov/remont/plitochniki/price/</t>
  </si>
  <si>
    <t>паспорт проверен, отзывы, гарантия на работы</t>
  </si>
  <si>
    <t>Установка сантехники</t>
  </si>
  <si>
    <t>унитаз 2 500–4 000; раковина 2 500–4 000; смеситель душа 2 000–3 500; инсталляция 6 000–9 000</t>
  </si>
  <si>
    <t>Profi.ru / Avito Саратов</t>
  </si>
  <si>
    <t>опрессовка соединений, чек на материалы</t>
  </si>
  <si>
    <t>Электромонтаж</t>
  </si>
  <si>
    <t>розетка/выключатель 250–600 ₽; сборка щита 6 000–25 000; точка света 500–800 ₽</t>
  </si>
  <si>
    <t>схема щита на бумаге, маркировка линий, акт проверки</t>
  </si>
  <si>
    <t>ЧТО ВИДНО НА ВИДЕО И В КАКОМ ПОРЯДКЕ ДЕЛАТЬ</t>
  </si>
  <si>
    <t>Зона</t>
  </si>
  <si>
    <t>Состояние по видео</t>
  </si>
  <si>
    <t>Что делать</t>
  </si>
  <si>
    <t>Этап</t>
  </si>
  <si>
    <t>Пол в комнатах, кухне, коридоре у окна</t>
  </si>
  <si>
    <t>Ровная серая стяжка / наливной пол, чистая, без покрытия</t>
  </si>
  <si>
    <t>Грунт → плёнка → подложка → ламинат/SPC → плинтус</t>
  </si>
  <si>
    <t>3</t>
  </si>
  <si>
    <t>Пол в прихожей и у санузлов</t>
  </si>
  <si>
    <t>Уложен крупноформатный керамогранит «под мрамор», швы затёрты</t>
  </si>
  <si>
    <t>Ничего. Только порожек на стыке с ламинатом</t>
  </si>
  <si>
    <t>Стены во всех комнатах</t>
  </si>
  <si>
    <t>Оштукатурены и зашпаклёваны (белые), не окрашены, без обоев</t>
  </si>
  <si>
    <t>Финиш стен — НЕ в этой смете, но делать ДО пола и ДО натяжного потолка (профиль крепится к готовым стенам)</t>
  </si>
  <si>
    <t>1</t>
  </si>
  <si>
    <t>Потолки везде</t>
  </si>
  <si>
    <t>Голая плита, по ней открытая проводка и трубы, висящие провода</t>
  </si>
  <si>
    <t>Закрепить кабель в гофре, поставить закладные под люстры/карнизы → натяжной потолок</t>
  </si>
  <si>
    <t>2 → 4</t>
  </si>
  <si>
    <t>Электрика</t>
  </si>
  <si>
    <t>Из стен торчат провода в местах розеток/выключателей; на стене санузла №1 — корпус розетки; щита в сборе не видно</t>
  </si>
  <si>
    <t>Собрать щит, поставить розетки/выключатели, прозвонить</t>
  </si>
  <si>
    <t>2 (щит) → 5 (розетки)</t>
  </si>
  <si>
    <t>Санузел №1</t>
  </si>
  <si>
    <t>Стены в плитке «оникс», висит газовая колонка, выводы воды и канализации готовы, стоит старый унитаз без бачка (временный), на полу трап/квадрат плитки, угловая полка</t>
  </si>
  <si>
    <t>Новый унитаз, раковина с тумбой и смесителем, зеркало, гигиенический душ, люк к колонке, вентилятор</t>
  </si>
  <si>
    <t>5</t>
  </si>
  <si>
    <t>Санузел №2 (душевая)</t>
  </si>
  <si>
    <t>Душевой подиум с линейным трапом, отделан плиткой «под дерево», 3 полки в нише, выводы под смеситель душа и под раковину, светильник висит на проводе</t>
  </si>
  <si>
    <t>Смеситель + стойка, стеклянное ограждение, раковина с тумбой, полотенцесушитель, вентилятор</t>
  </si>
  <si>
    <t>Двери</t>
  </si>
  <si>
    <t>Межкомнатных дверей нет, проёмы пустые</t>
  </si>
  <si>
    <t>Двери — НЕ в этой смете; ставить ПОСЛЕ пола (этап 6)</t>
  </si>
  <si>
    <t>6</t>
  </si>
  <si>
    <t>Отопление</t>
  </si>
  <si>
    <t>Радиатор под окном установлен</t>
  </si>
  <si>
    <t>Ничего</t>
  </si>
  <si>
    <t>ПОРЯДОК РАБОТ (чтобы не переделывать)</t>
  </si>
  <si>
    <t>1. Финиш стен (покраска/обои) — до потолка и до пола.</t>
  </si>
  <si>
    <t>2. Электрика: сборка щита, разводка потолочных линий в гофре, закладные под люстры и карнизы. Розетки пока НЕ ставить.</t>
  </si>
  <si>
    <t>3. Пол: грунт, плёнка, подложка, ламинат/SPC. Плинтус — после дверей (этап 6) либо сразу, если двери с добором.</t>
  </si>
  <si>
    <t>4. Натяжные потолки (замер за 1–2 дня, монтаж 1 день на квартиру). Условие: стены готовы, точки света разведены, t в квартире ≥ +10°C.</t>
  </si>
  <si>
    <t>5. Сантехника и электроустановка: унитаз, раковины, смесители, стекло душевой, полотенцесушитель, вентиляторы, розетки/выключатели, светильники.</t>
  </si>
  <si>
    <t>6. Двери, плинтус, финальная уборка.</t>
  </si>
  <si>
    <t>ЧТО ОБЯЗАТЕЛЬНО ПОД НАТЯЖНОЙ ПОТОЛОК</t>
  </si>
  <si>
    <t>— Весь кабель по потолку в гофре, закреплён клипсами каждые 50 см (на видео он висит свободно).</t>
  </si>
  <si>
    <t>— Закладные (фанера/платформы) под каждую люстру, трек и под карниз штор — на стойках или брусе.</t>
  </si>
  <si>
    <t>— Штробы и дыры в потолке заделаны, вентканалы закрыты решётками.</t>
  </si>
  <si>
    <t>— Стены зашпаклёваны до потолка (профиль крепится к стене на дюбели каждые 10–15 см).</t>
  </si>
  <si>
    <t>— Газовая колонка и трубы в санузле №1: под потолком нужен зазор для обслуживания — обсудить с замерщиком, возможно короб или обвод.</t>
  </si>
  <si>
    <t>— В санузлах — только ПВХ (тканевый не любит влагу), обвод труб считается отдельно.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</si>
</sst>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 ₽&quot;;\(#,##0&quot; ₽)&quot;;\-"/>
    <numFmt numFmtId="165" formatCode="0.0%"/>
  </numFmts>
  <fonts count="13" x14ac:knownFonts="1">
    <font>
      <sz val="11"/>
      <color theme="1"/>
      <name val="Calibri"/>
      <family val="2"/>
      <charset val="1"/>
    </font>
    <font>
      <b/>
      <sz val="13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0"/>
      <color rgb="FF008000"/>
      <name val="Arial"/>
      <family val="2"/>
    </font>
    <font>
      <b/>
      <sz val="12"/>
      <name val="Arial"/>
      <family val="2"/>
    </font>
    <font>
      <u/>
      <sz val="10"/>
      <color rgb="FF0563C1"/>
      <name val="Arial"/>
      <family val="2"/>
    </font>
    <font>
      <b/>
      <sz val="11"/>
      <color rgb="FF008000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theme="5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3" borderId="0" xfId="0" applyFont="1" applyFill="1"/>
    <xf numFmtId="9" fontId="4" fillId="3" borderId="0" xfId="0" applyNumberFormat="1" applyFont="1" applyFill="1"/>
    <xf numFmtId="0" fontId="5" fillId="0" borderId="0" xfId="0" applyFont="1"/>
    <xf numFmtId="0" fontId="0" fillId="0" borderId="1" xfId="0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0" fillId="0" borderId="1" xfId="0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64" fontId="4" fillId="0" borderId="1" xfId="0" applyNumberFormat="1" applyFon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164" fontId="5" fillId="0" borderId="0" xfId="0" applyNumberFormat="1" applyFont="1" applyAlignment="1">
      <alignment vertical="center"/>
    </xf>
    <xf numFmtId="0" fontId="0" fillId="5" borderId="0" xfId="0" applyFill="1" applyAlignment="1">
      <alignment vertical="center"/>
    </xf>
    <xf numFmtId="0" fontId="5" fillId="5" borderId="0" xfId="0" applyFont="1" applyFill="1" applyAlignment="1">
      <alignment vertical="center"/>
    </xf>
    <xf numFmtId="164" fontId="5" fillId="5" borderId="0" xfId="0" applyNumberFormat="1" applyFont="1" applyFill="1" applyAlignment="1">
      <alignment vertical="center"/>
    </xf>
    <xf numFmtId="9" fontId="6" fillId="0" borderId="0" xfId="0" applyNumberFormat="1" applyFont="1" applyAlignment="1">
      <alignment vertical="center"/>
    </xf>
    <xf numFmtId="164" fontId="0" fillId="0" borderId="0" xfId="0" applyNumberFormat="1" applyAlignment="1">
      <alignment vertical="center"/>
    </xf>
    <xf numFmtId="0" fontId="7" fillId="5" borderId="0" xfId="0" applyFont="1" applyFill="1" applyAlignment="1">
      <alignment vertical="center"/>
    </xf>
    <xf numFmtId="164" fontId="7" fillId="5" borderId="0" xfId="0" applyNumberFormat="1" applyFont="1" applyFill="1" applyAlignment="1">
      <alignment vertical="center"/>
    </xf>
    <xf numFmtId="0" fontId="0" fillId="0" borderId="0" xfId="0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164" fontId="6" fillId="0" borderId="0" xfId="0" applyNumberFormat="1" applyFont="1" applyAlignment="1">
      <alignment vertical="center"/>
    </xf>
    <xf numFmtId="164" fontId="9" fillId="4" borderId="0" xfId="0" applyNumberFormat="1" applyFont="1" applyFill="1" applyAlignment="1">
      <alignment vertical="center"/>
    </xf>
    <xf numFmtId="164" fontId="10" fillId="0" borderId="0" xfId="0" applyNumberFormat="1" applyFont="1" applyAlignment="1">
      <alignment vertical="center"/>
    </xf>
    <xf numFmtId="164" fontId="11" fillId="5" borderId="0" xfId="0" applyNumberFormat="1" applyFont="1" applyFill="1" applyAlignment="1">
      <alignment vertical="center"/>
    </xf>
    <xf numFmtId="165" fontId="12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FF2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ru-RU" sz="1800" b="1" strike="noStrike" spc="-1">
                <a:solidFill>
                  <a:srgbClr val="000000"/>
                </a:solidFill>
                <a:latin typeface="Calibri"/>
              </a:rPr>
              <a:t>Ремонт </a:t>
            </a: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vs </a:t>
            </a:r>
            <a:r>
              <a:rPr lang="ru-RU" sz="1800" b="1" strike="noStrike" spc="-1">
                <a:solidFill>
                  <a:srgbClr val="000000"/>
                </a:solidFill>
                <a:latin typeface="Calibri"/>
              </a:rPr>
              <a:t>Заезд по опциям, </a:t>
            </a:r>
            <a:r>
              <a:rPr lang="en-RU" sz="1800" b="1" strike="noStrike" spc="-1">
                <a:solidFill>
                  <a:srgbClr val="000000"/>
                </a:solidFill>
                <a:latin typeface="Calibri"/>
              </a:rPr>
              <a:t>₽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'3_Саммари'!$A$8</c:f>
              <c:strCache>
                <c:ptCount val="1"/>
                <c:pt idx="0">
                  <c:v>1. РЕМОНТ — ИТОГО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RU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'3_Саммари'!$B$4:$E$4</c:f>
              <c:strCache>
                <c:ptCount val="4"/>
                <c:pt idx="0">
                  <c:v>МИН</c:v>
                </c:pt>
                <c:pt idx="1">
                  <c:v>СРЕД</c:v>
                </c:pt>
                <c:pt idx="2">
                  <c:v>МАКС</c:v>
                </c:pt>
                <c:pt idx="3">
                  <c:v>РЕАЛ (сборка)</c:v>
                </c:pt>
              </c:strCache>
            </c:strRef>
          </c:cat>
          <c:val>
            <c:numRef>
              <c:f>'3_Саммари'!$B$8:$E$8</c:f>
              <c:numCache>
                <c:formatCode>#\ ##0" ₽";\(#\ ##0" ₽)";\-</c:formatCode>
                <c:ptCount val="4"/>
                <c:pt idx="0">
                  <c:v>393569</c:v>
                </c:pt>
                <c:pt idx="1">
                  <c:v>916916</c:v>
                </c:pt>
                <c:pt idx="2">
                  <c:v>2017235</c:v>
                </c:pt>
                <c:pt idx="3">
                  <c:v>916916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92-4845-AAAB-1A34B212CE6E}"/>
            </c:ext>
          </c:extLst>
        </c:ser>
        <c:ser>
          <c:idx val="1"/>
          <c:order val="1"/>
          <c:tx>
            <c:strRef>
              <c:f>'3_Саммари'!$A$13</c:f>
              <c:strCache>
                <c:ptCount val="1"/>
                <c:pt idx="0">
                  <c:v>2. ЗАЕЗД — ИТОГО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RU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'3_Саммари'!$B$4:$E$4</c:f>
              <c:strCache>
                <c:ptCount val="4"/>
                <c:pt idx="0">
                  <c:v>МИН</c:v>
                </c:pt>
                <c:pt idx="1">
                  <c:v>СРЕД</c:v>
                </c:pt>
                <c:pt idx="2">
                  <c:v>МАКС</c:v>
                </c:pt>
                <c:pt idx="3">
                  <c:v>РЕАЛ (сборка)</c:v>
                </c:pt>
              </c:strCache>
            </c:strRef>
          </c:cat>
          <c:val>
            <c:numRef>
              <c:f>'3_Саммари'!$B$13:$E$13</c:f>
              <c:numCache>
                <c:formatCode>#\ ##0" ₽";\(#\ ##0" ₽)";\-</c:formatCode>
                <c:ptCount val="4"/>
                <c:pt idx="0">
                  <c:v>521400</c:v>
                </c:pt>
                <c:pt idx="1">
                  <c:v>1399750</c:v>
                </c:pt>
                <c:pt idx="2">
                  <c:v>3829100</c:v>
                </c:pt>
                <c:pt idx="3">
                  <c:v>870100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92-4845-AAAB-1A34B212CE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2955219"/>
        <c:axId val="67914858"/>
      </c:barChart>
      <c:catAx>
        <c:axId val="329552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RU"/>
          </a:p>
        </c:txPr>
        <c:crossAx val="67914858"/>
        <c:crosses val="autoZero"/>
        <c:auto val="1"/>
        <c:lblAlgn val="ctr"/>
        <c:lblOffset val="100"/>
        <c:noMultiLvlLbl val="0"/>
      </c:catAx>
      <c:valAx>
        <c:axId val="679148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RU" sz="1000" b="1" strike="noStrike" spc="-1">
                    <a:solidFill>
                      <a:srgbClr val="000000"/>
                    </a:solidFill>
                    <a:latin typeface="Calibri"/>
                  </a:rPr>
                  <a:t>₽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\ ##0&quot; ₽&quot;;\(#\ ##0&quot; ₽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RU"/>
          </a:p>
        </c:txPr>
        <c:crossAx val="329552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RU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25</xdr:row>
      <xdr:rowOff>176040</xdr:rowOff>
    </xdr:from>
    <xdr:to>
      <xdr:col>3</xdr:col>
      <xdr:colOff>136080</xdr:colOff>
      <xdr:row>42</xdr:row>
      <xdr:rowOff>177120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hoff.ru/catalog/mebel/" TargetMode="External"/><Relationship Id="rId18" Type="http://schemas.openxmlformats.org/officeDocument/2006/relationships/hyperlink" Target="https://hoff.ru/catalog/mebel/" TargetMode="External"/><Relationship Id="rId26" Type="http://schemas.openxmlformats.org/officeDocument/2006/relationships/hyperlink" Target="https://hoff.ru/catalog/mebel/" TargetMode="External"/><Relationship Id="rId39" Type="http://schemas.openxmlformats.org/officeDocument/2006/relationships/hyperlink" Target="https://hoff.ru/catalog/mebel/" TargetMode="External"/><Relationship Id="rId21" Type="http://schemas.openxmlformats.org/officeDocument/2006/relationships/hyperlink" Target="https://hoff.ru/catalog/mebel/" TargetMode="External"/><Relationship Id="rId34" Type="http://schemas.openxmlformats.org/officeDocument/2006/relationships/hyperlink" Target="https://hoff.ru/catalog/mebel/" TargetMode="External"/><Relationship Id="rId42" Type="http://schemas.openxmlformats.org/officeDocument/2006/relationships/hyperlink" Target="https://www.dns-shop.ru/?city=saratov" TargetMode="External"/><Relationship Id="rId7" Type="http://schemas.openxmlformats.org/officeDocument/2006/relationships/hyperlink" Target="https://www.dns-shop.ru/?city=saratov" TargetMode="External"/><Relationship Id="rId2" Type="http://schemas.openxmlformats.org/officeDocument/2006/relationships/hyperlink" Target="https://hoff.ru/catalog/kuhnya/kuhonnye_garnitury/" TargetMode="External"/><Relationship Id="rId16" Type="http://schemas.openxmlformats.org/officeDocument/2006/relationships/hyperlink" Target="https://hoff.ru/catalog/mebel/" TargetMode="External"/><Relationship Id="rId29" Type="http://schemas.openxmlformats.org/officeDocument/2006/relationships/hyperlink" Target="https://saratov.lemanapro.ru/" TargetMode="External"/><Relationship Id="rId1" Type="http://schemas.openxmlformats.org/officeDocument/2006/relationships/hyperlink" Target="https://hoff.ru/catalog/kukhonnye-garnitury/modulnye-kukhonnye-garnitury/" TargetMode="External"/><Relationship Id="rId6" Type="http://schemas.openxmlformats.org/officeDocument/2006/relationships/hyperlink" Target="https://www.dns-shop.ru/?city=saratov" TargetMode="External"/><Relationship Id="rId11" Type="http://schemas.openxmlformats.org/officeDocument/2006/relationships/hyperlink" Target="https://hoff.ru/catalog/mebel/" TargetMode="External"/><Relationship Id="rId24" Type="http://schemas.openxmlformats.org/officeDocument/2006/relationships/hyperlink" Target="https://hoff.ru/catalog/mebel/" TargetMode="External"/><Relationship Id="rId32" Type="http://schemas.openxmlformats.org/officeDocument/2006/relationships/hyperlink" Target="https://hoff.ru/catalog/mebel/" TargetMode="External"/><Relationship Id="rId37" Type="http://schemas.openxmlformats.org/officeDocument/2006/relationships/hyperlink" Target="https://hoff.ru/catalog/mebel/" TargetMode="External"/><Relationship Id="rId40" Type="http://schemas.openxmlformats.org/officeDocument/2006/relationships/hyperlink" Target="https://hoff.ru/catalog/mebel/" TargetMode="External"/><Relationship Id="rId45" Type="http://schemas.openxmlformats.org/officeDocument/2006/relationships/hyperlink" Target="https://www.dns-shop.ru/?city=saratov" TargetMode="External"/><Relationship Id="rId5" Type="http://schemas.openxmlformats.org/officeDocument/2006/relationships/hyperlink" Target="https://www.dns-shop.ru/?city=saratov" TargetMode="External"/><Relationship Id="rId15" Type="http://schemas.openxmlformats.org/officeDocument/2006/relationships/hyperlink" Target="https://hoff.ru/catalog/mebel/" TargetMode="External"/><Relationship Id="rId23" Type="http://schemas.openxmlformats.org/officeDocument/2006/relationships/hyperlink" Target="https://hoff.ru/catalog/mebel/" TargetMode="External"/><Relationship Id="rId28" Type="http://schemas.openxmlformats.org/officeDocument/2006/relationships/hyperlink" Target="https://hoff.ru/catalog/mebel/" TargetMode="External"/><Relationship Id="rId36" Type="http://schemas.openxmlformats.org/officeDocument/2006/relationships/hyperlink" Target="https://hoff.ru/catalog/mebel/" TargetMode="External"/><Relationship Id="rId10" Type="http://schemas.openxmlformats.org/officeDocument/2006/relationships/hyperlink" Target="https://www.dns-shop.ru/?city=saratov" TargetMode="External"/><Relationship Id="rId19" Type="http://schemas.openxmlformats.org/officeDocument/2006/relationships/hyperlink" Target="https://hoff.ru/catalog/mebel/" TargetMode="External"/><Relationship Id="rId31" Type="http://schemas.openxmlformats.org/officeDocument/2006/relationships/hyperlink" Target="https://www.dns-shop.ru/catalog/17a8ae1316404e77/televizory-i-aksessuary/" TargetMode="External"/><Relationship Id="rId44" Type="http://schemas.openxmlformats.org/officeDocument/2006/relationships/hyperlink" Target="https://hoff.ru/catalog/mebel/" TargetMode="External"/><Relationship Id="rId4" Type="http://schemas.openxmlformats.org/officeDocument/2006/relationships/hyperlink" Target="https://saratov.lemanapro.ru/" TargetMode="External"/><Relationship Id="rId9" Type="http://schemas.openxmlformats.org/officeDocument/2006/relationships/hyperlink" Target="https://www.dns-shop.ru/?city=saratov" TargetMode="External"/><Relationship Id="rId14" Type="http://schemas.openxmlformats.org/officeDocument/2006/relationships/hyperlink" Target="https://hoff.ru/catalog/mebel/" TargetMode="External"/><Relationship Id="rId22" Type="http://schemas.openxmlformats.org/officeDocument/2006/relationships/hyperlink" Target="https://hoff.ru/catalog/mebel/" TargetMode="External"/><Relationship Id="rId27" Type="http://schemas.openxmlformats.org/officeDocument/2006/relationships/hyperlink" Target="https://hoff.ru/catalog/mebel/" TargetMode="External"/><Relationship Id="rId30" Type="http://schemas.openxmlformats.org/officeDocument/2006/relationships/hyperlink" Target="https://hoff.ru/catalog/gostinaya/divany/" TargetMode="External"/><Relationship Id="rId35" Type="http://schemas.openxmlformats.org/officeDocument/2006/relationships/hyperlink" Target="https://hoff.ru/catalog/mebel/" TargetMode="External"/><Relationship Id="rId43" Type="http://schemas.openxmlformats.org/officeDocument/2006/relationships/hyperlink" Target="https://www.dns-shop.ru/?city=saratov" TargetMode="External"/><Relationship Id="rId8" Type="http://schemas.openxmlformats.org/officeDocument/2006/relationships/hyperlink" Target="https://www.dns-shop.ru/?city=saratov" TargetMode="External"/><Relationship Id="rId3" Type="http://schemas.openxmlformats.org/officeDocument/2006/relationships/hyperlink" Target="https://saratov.lemanapro.ru/" TargetMode="External"/><Relationship Id="rId12" Type="http://schemas.openxmlformats.org/officeDocument/2006/relationships/hyperlink" Target="https://hoff.ru/catalog/mebel/" TargetMode="External"/><Relationship Id="rId17" Type="http://schemas.openxmlformats.org/officeDocument/2006/relationships/hyperlink" Target="https://hoff.ru/catalog/mebel/" TargetMode="External"/><Relationship Id="rId25" Type="http://schemas.openxmlformats.org/officeDocument/2006/relationships/hyperlink" Target="https://hoff.ru/catalog/mebel/" TargetMode="External"/><Relationship Id="rId33" Type="http://schemas.openxmlformats.org/officeDocument/2006/relationships/hyperlink" Target="https://hoff.ru/catalog/mebel/" TargetMode="External"/><Relationship Id="rId38" Type="http://schemas.openxmlformats.org/officeDocument/2006/relationships/hyperlink" Target="https://saratov.lemanapro.ru/" TargetMode="External"/><Relationship Id="rId20" Type="http://schemas.openxmlformats.org/officeDocument/2006/relationships/hyperlink" Target="https://saratov.lemanapro.ru/" TargetMode="External"/><Relationship Id="rId41" Type="http://schemas.openxmlformats.org/officeDocument/2006/relationships/hyperlink" Target="https://www.dns-shop.ru/?city=sarat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saratov.lemanapro.ru/catalogue/unitazy-i-bide/" TargetMode="External"/><Relationship Id="rId18" Type="http://schemas.openxmlformats.org/officeDocument/2006/relationships/hyperlink" Target="https://www.profkom64.ru/product/santehnika/smesiteli/" TargetMode="External"/><Relationship Id="rId26" Type="http://schemas.openxmlformats.org/officeDocument/2006/relationships/hyperlink" Target="https://www.santehnica.ru/" TargetMode="External"/><Relationship Id="rId39" Type="http://schemas.openxmlformats.org/officeDocument/2006/relationships/hyperlink" Target="https://elektro-tovars.ru/catalog/rozetki-vyklyuchateli/schneider-electric-rozetki-vyklyuchateli" TargetMode="External"/><Relationship Id="rId21" Type="http://schemas.openxmlformats.org/officeDocument/2006/relationships/hyperlink" Target="https://saratov.lemanapro.ru/" TargetMode="External"/><Relationship Id="rId34" Type="http://schemas.openxmlformats.org/officeDocument/2006/relationships/hyperlink" Target="https://hoff.ru/catalog/mebel/" TargetMode="External"/><Relationship Id="rId7" Type="http://schemas.openxmlformats.org/officeDocument/2006/relationships/hyperlink" Target="https://saratov.potolochek.su/prices" TargetMode="External"/><Relationship Id="rId12" Type="http://schemas.openxmlformats.org/officeDocument/2006/relationships/hyperlink" Target="https://saratov.lemanapro.ru/catalogue/unitazy-i-bide/" TargetMode="External"/><Relationship Id="rId17" Type="http://schemas.openxmlformats.org/officeDocument/2006/relationships/hyperlink" Target="https://saratov.lemanapro.ru/catalogue/smesiteli-dlya-vannoy-komnaty/" TargetMode="External"/><Relationship Id="rId25" Type="http://schemas.openxmlformats.org/officeDocument/2006/relationships/hyperlink" Target="https://saratov.potolochek.su/prices" TargetMode="External"/><Relationship Id="rId33" Type="http://schemas.openxmlformats.org/officeDocument/2006/relationships/hyperlink" Target="https://saratov.lemanapro.ru/" TargetMode="External"/><Relationship Id="rId38" Type="http://schemas.openxmlformats.org/officeDocument/2006/relationships/hyperlink" Target="https://hoff.ru/catalog/kuhnya/kuhonnye_garnitury/" TargetMode="External"/><Relationship Id="rId2" Type="http://schemas.openxmlformats.org/officeDocument/2006/relationships/hyperlink" Target="https://www.profkom64.ru/product/napolnie_pokritiya/laminat-33-klass/" TargetMode="External"/><Relationship Id="rId16" Type="http://schemas.openxmlformats.org/officeDocument/2006/relationships/hyperlink" Target="https://www.ozon.ru/category/unitazy-10276/cersanit-33479360/" TargetMode="External"/><Relationship Id="rId20" Type="http://schemas.openxmlformats.org/officeDocument/2006/relationships/hyperlink" Target="https://santehnika-online.ru/smesiteli/brand-lemark/serija-unit/" TargetMode="External"/><Relationship Id="rId29" Type="http://schemas.openxmlformats.org/officeDocument/2006/relationships/hyperlink" Target="https://elektro-tovars.ru/catalog/rozetki-vyklyuchateli/schneider-electric-rozetki-vyklyuchateli" TargetMode="External"/><Relationship Id="rId1" Type="http://schemas.openxmlformats.org/officeDocument/2006/relationships/hyperlink" Target="https://saratov.lemanapro.ru/catalogue/laminat/klass-33/" TargetMode="External"/><Relationship Id="rId6" Type="http://schemas.openxmlformats.org/officeDocument/2006/relationships/hyperlink" Target="https://saratov.lemanapro.ru/" TargetMode="External"/><Relationship Id="rId11" Type="http://schemas.openxmlformats.org/officeDocument/2006/relationships/hyperlink" Target="https://saratov.lemanapro.ru/" TargetMode="External"/><Relationship Id="rId24" Type="http://schemas.openxmlformats.org/officeDocument/2006/relationships/hyperlink" Target="https://saratov.lemanapro.ru/" TargetMode="External"/><Relationship Id="rId32" Type="http://schemas.openxmlformats.org/officeDocument/2006/relationships/hyperlink" Target="https://saratov.lemanapro.ru/" TargetMode="External"/><Relationship Id="rId37" Type="http://schemas.openxmlformats.org/officeDocument/2006/relationships/hyperlink" Target="https://saratov.potolochek.su/prices" TargetMode="External"/><Relationship Id="rId5" Type="http://schemas.openxmlformats.org/officeDocument/2006/relationships/hyperlink" Target="https://saratov.olimp-parketa.ru/catalog/kvarc-vinilovyy-laminat/" TargetMode="External"/><Relationship Id="rId15" Type="http://schemas.openxmlformats.org/officeDocument/2006/relationships/hyperlink" Target="https://saratov.santehnica.ru/brand/lemark/" TargetMode="External"/><Relationship Id="rId23" Type="http://schemas.openxmlformats.org/officeDocument/2006/relationships/hyperlink" Target="https://www.santehnica.ru/" TargetMode="External"/><Relationship Id="rId28" Type="http://schemas.openxmlformats.org/officeDocument/2006/relationships/hyperlink" Target="https://saratov.lemanapro.ru/catalogue/rozetki-i-vyklyuchateli/rozetki-schneider-electric/" TargetMode="External"/><Relationship Id="rId36" Type="http://schemas.openxmlformats.org/officeDocument/2006/relationships/hyperlink" Target="https://saratov.lemanapro.ru/" TargetMode="External"/><Relationship Id="rId10" Type="http://schemas.openxmlformats.org/officeDocument/2006/relationships/hyperlink" Target="https://saratov.natpotolok.ru/matovyj-potolok" TargetMode="External"/><Relationship Id="rId19" Type="http://schemas.openxmlformats.org/officeDocument/2006/relationships/hyperlink" Target="https://saratov.santehnica.ru/brand/lemark/" TargetMode="External"/><Relationship Id="rId31" Type="http://schemas.openxmlformats.org/officeDocument/2006/relationships/hyperlink" Target="https://saratov.lemanapro.ru/catalogue/avtomaticheskie-vyklyuchateli/schneider-electric/" TargetMode="External"/><Relationship Id="rId4" Type="http://schemas.openxmlformats.org/officeDocument/2006/relationships/hyperlink" Target="https://saratov.parket73.ru/spc-laminat/" TargetMode="External"/><Relationship Id="rId9" Type="http://schemas.openxmlformats.org/officeDocument/2006/relationships/hyperlink" Target="https://potolki-rvs.ru/ceny" TargetMode="External"/><Relationship Id="rId14" Type="http://schemas.openxmlformats.org/officeDocument/2006/relationships/hyperlink" Target="https://cershop.ru/unitazy/" TargetMode="External"/><Relationship Id="rId22" Type="http://schemas.openxmlformats.org/officeDocument/2006/relationships/hyperlink" Target="https://saratov.santehnica.ru/brand/lemark/" TargetMode="External"/><Relationship Id="rId27" Type="http://schemas.openxmlformats.org/officeDocument/2006/relationships/hyperlink" Target="https://saratov.lemanapro.ru/catalogue/rozetki-i-vyklyuchateli/rozetki-schneider-electric/" TargetMode="External"/><Relationship Id="rId30" Type="http://schemas.openxmlformats.org/officeDocument/2006/relationships/hyperlink" Target="https://saratov.lemanapro.ru/catalogue/avtomaticheskie-vyklyuchateli/schneider-electric/" TargetMode="External"/><Relationship Id="rId35" Type="http://schemas.openxmlformats.org/officeDocument/2006/relationships/hyperlink" Target="https://saratov.lemanapro.ru/" TargetMode="External"/><Relationship Id="rId8" Type="http://schemas.openxmlformats.org/officeDocument/2006/relationships/hyperlink" Target="https://superpotolok.ru/ceny/" TargetMode="External"/><Relationship Id="rId3" Type="http://schemas.openxmlformats.org/officeDocument/2006/relationships/hyperlink" Target="https://saratov.lemanapro.ru/catalogue/laminat/klass-33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superpotolok.ru/ceny/" TargetMode="External"/><Relationship Id="rId2" Type="http://schemas.openxmlformats.org/officeDocument/2006/relationships/hyperlink" Target="https://saratov.s5r.ru/ukladka-laminata" TargetMode="External"/><Relationship Id="rId1" Type="http://schemas.openxmlformats.org/officeDocument/2006/relationships/hyperlink" Target="https://profi.ru/geo-saratov/remont/pol/ukladka-laminata/price/" TargetMode="External"/><Relationship Id="rId6" Type="http://schemas.openxmlformats.org/officeDocument/2006/relationships/hyperlink" Target="https://profi.ru/geo-saratov/remont/plitochniki/price/" TargetMode="External"/><Relationship Id="rId5" Type="http://schemas.openxmlformats.org/officeDocument/2006/relationships/hyperlink" Target="https://profi.ru/geo-saratov/remont/plitochniki/price/" TargetMode="External"/><Relationship Id="rId4" Type="http://schemas.openxmlformats.org/officeDocument/2006/relationships/hyperlink" Target="https://profi.ru/geo-saratov/remont/plitochniki/pric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zoomScaleNormal="100" workbookViewId="0"/>
  </sheetViews>
  <sheetFormatPr baseColWidth="10" defaultColWidth="8.6640625" defaultRowHeight="15" x14ac:dyDescent="0.2"/>
  <cols>
    <col min="1" max="1" width="40" customWidth="1"/>
    <col min="2" max="2" width="12" customWidth="1"/>
    <col min="3" max="3" width="80" customWidth="1"/>
  </cols>
  <sheetData>
    <row r="1" spans="1:3" ht="17" x14ac:dyDescent="0.2">
      <c r="A1" s="2" t="s">
        <v>0</v>
      </c>
    </row>
    <row r="3" spans="1:3" x14ac:dyDescent="0.2">
      <c r="A3" s="3" t="s">
        <v>1</v>
      </c>
      <c r="B3" s="3" t="s">
        <v>2</v>
      </c>
      <c r="C3" s="3" t="s">
        <v>3</v>
      </c>
    </row>
    <row r="4" spans="1:3" x14ac:dyDescent="0.2">
      <c r="A4" s="4" t="s">
        <v>4</v>
      </c>
      <c r="B4" s="5">
        <v>55.1</v>
      </c>
      <c r="C4" s="4" t="s">
        <v>5</v>
      </c>
    </row>
    <row r="5" spans="1:3" x14ac:dyDescent="0.2">
      <c r="A5" s="4" t="s">
        <v>6</v>
      </c>
      <c r="B5" s="5">
        <v>42</v>
      </c>
      <c r="C5" s="4" t="s">
        <v>7</v>
      </c>
    </row>
    <row r="6" spans="1:3" x14ac:dyDescent="0.2">
      <c r="A6" s="4" t="s">
        <v>8</v>
      </c>
      <c r="B6" s="6">
        <v>7.0000000000000007E-2</v>
      </c>
      <c r="C6" s="4" t="s">
        <v>9</v>
      </c>
    </row>
    <row r="7" spans="1:3" x14ac:dyDescent="0.2">
      <c r="A7" s="4" t="s">
        <v>10</v>
      </c>
      <c r="B7" s="5">
        <v>52.4</v>
      </c>
      <c r="C7" s="4" t="s">
        <v>11</v>
      </c>
    </row>
    <row r="8" spans="1:3" x14ac:dyDescent="0.2">
      <c r="A8" s="4" t="s">
        <v>12</v>
      </c>
      <c r="B8" s="5">
        <v>50</v>
      </c>
      <c r="C8" s="4" t="s">
        <v>13</v>
      </c>
    </row>
    <row r="9" spans="1:3" x14ac:dyDescent="0.2">
      <c r="A9" s="4" t="s">
        <v>14</v>
      </c>
      <c r="B9" s="5">
        <v>30</v>
      </c>
      <c r="C9" s="4" t="s">
        <v>15</v>
      </c>
    </row>
    <row r="10" spans="1:3" x14ac:dyDescent="0.2">
      <c r="A10" s="4" t="s">
        <v>16</v>
      </c>
      <c r="B10" s="5">
        <v>8</v>
      </c>
      <c r="C10" s="4"/>
    </row>
    <row r="11" spans="1:3" x14ac:dyDescent="0.2">
      <c r="A11" s="4" t="s">
        <v>17</v>
      </c>
      <c r="B11" s="5">
        <v>25</v>
      </c>
      <c r="C11" s="4" t="s">
        <v>18</v>
      </c>
    </row>
    <row r="12" spans="1:3" x14ac:dyDescent="0.2">
      <c r="A12" s="4" t="s">
        <v>19</v>
      </c>
      <c r="B12" s="5">
        <v>12</v>
      </c>
      <c r="C12" s="4" t="s">
        <v>20</v>
      </c>
    </row>
    <row r="13" spans="1:3" x14ac:dyDescent="0.2">
      <c r="A13" s="4" t="s">
        <v>21</v>
      </c>
      <c r="B13" s="5">
        <v>2</v>
      </c>
      <c r="C13" s="4" t="s">
        <v>22</v>
      </c>
    </row>
    <row r="14" spans="1:3" x14ac:dyDescent="0.2">
      <c r="A14" s="4" t="s">
        <v>23</v>
      </c>
      <c r="B14" s="5">
        <v>2</v>
      </c>
      <c r="C14" s="4" t="s">
        <v>24</v>
      </c>
    </row>
    <row r="15" spans="1:3" x14ac:dyDescent="0.2">
      <c r="A15" s="4" t="s">
        <v>25</v>
      </c>
      <c r="B15" s="5">
        <v>120</v>
      </c>
      <c r="C15" s="4" t="s">
        <v>26</v>
      </c>
    </row>
    <row r="16" spans="1:3" x14ac:dyDescent="0.2">
      <c r="A16" s="4" t="s">
        <v>27</v>
      </c>
      <c r="B16" s="5">
        <v>3</v>
      </c>
      <c r="C16" s="4" t="s">
        <v>28</v>
      </c>
    </row>
    <row r="17" spans="1:3" x14ac:dyDescent="0.2">
      <c r="A17" s="4" t="s">
        <v>29</v>
      </c>
      <c r="B17" s="5">
        <v>1</v>
      </c>
      <c r="C17" s="4" t="s">
        <v>30</v>
      </c>
    </row>
    <row r="18" spans="1:3" x14ac:dyDescent="0.2">
      <c r="A18" s="4" t="s">
        <v>31</v>
      </c>
      <c r="B18" s="6">
        <v>0.1</v>
      </c>
      <c r="C18" s="4" t="s">
        <v>32</v>
      </c>
    </row>
    <row r="21" spans="1:3" x14ac:dyDescent="0.2">
      <c r="A21" s="7" t="s">
        <v>33</v>
      </c>
    </row>
    <row r="22" spans="1:3" x14ac:dyDescent="0.2">
      <c r="A22" t="s">
        <v>34</v>
      </c>
    </row>
    <row r="23" spans="1:3" x14ac:dyDescent="0.2">
      <c r="A23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8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I74" sqref="I74"/>
    </sheetView>
  </sheetViews>
  <sheetFormatPr baseColWidth="10" defaultColWidth="8.6640625" defaultRowHeight="15" x14ac:dyDescent="0.2"/>
  <cols>
    <col min="1" max="1" width="4" style="12" customWidth="1"/>
    <col min="2" max="2" width="14" style="12" customWidth="1"/>
    <col min="3" max="3" width="46" style="12" customWidth="1"/>
    <col min="4" max="4" width="6" style="12" customWidth="1"/>
    <col min="5" max="5" width="8" style="12" customWidth="1"/>
    <col min="6" max="6" width="11" style="12" customWidth="1"/>
    <col min="7" max="7" width="12" style="12" customWidth="1"/>
    <col min="8" max="8" width="11" style="12" customWidth="1"/>
    <col min="9" max="9" width="12" style="12" customWidth="1"/>
    <col min="10" max="10" width="11" style="12" customWidth="1"/>
    <col min="11" max="11" width="12" style="12" customWidth="1"/>
    <col min="12" max="12" width="49.83203125" style="12" customWidth="1"/>
    <col min="13" max="13" width="10" style="12" customWidth="1"/>
    <col min="14" max="14" width="12" style="12" customWidth="1"/>
    <col min="15" max="16384" width="8.6640625" style="12"/>
  </cols>
  <sheetData>
    <row r="1" spans="1:14" ht="17" x14ac:dyDescent="0.2">
      <c r="A1" s="11" t="s">
        <v>36</v>
      </c>
    </row>
    <row r="2" spans="1:14" x14ac:dyDescent="0.2">
      <c r="A2" s="12" t="s">
        <v>37</v>
      </c>
    </row>
    <row r="4" spans="1:14" ht="28" x14ac:dyDescent="0.2">
      <c r="A4" s="13" t="s">
        <v>38</v>
      </c>
      <c r="B4" s="13" t="s">
        <v>39</v>
      </c>
      <c r="C4" s="13" t="s">
        <v>40</v>
      </c>
      <c r="D4" s="13" t="s">
        <v>41</v>
      </c>
      <c r="E4" s="13" t="s">
        <v>42</v>
      </c>
      <c r="F4" s="13" t="s">
        <v>43</v>
      </c>
      <c r="G4" s="14" t="s">
        <v>44</v>
      </c>
      <c r="H4" s="13" t="s">
        <v>45</v>
      </c>
      <c r="I4" s="14" t="s">
        <v>46</v>
      </c>
      <c r="J4" s="13" t="s">
        <v>47</v>
      </c>
      <c r="K4" s="14" t="s">
        <v>48</v>
      </c>
      <c r="L4" s="13" t="s">
        <v>49</v>
      </c>
      <c r="M4" s="13" t="s">
        <v>50</v>
      </c>
      <c r="N4" s="13" t="s">
        <v>51</v>
      </c>
    </row>
    <row r="5" spans="1:14" x14ac:dyDescent="0.2">
      <c r="A5" s="15" t="s">
        <v>52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</row>
    <row r="6" spans="1:14" ht="32" x14ac:dyDescent="0.2">
      <c r="A6" s="17">
        <v>1</v>
      </c>
      <c r="B6" s="17" t="s">
        <v>53</v>
      </c>
      <c r="C6" s="17" t="s">
        <v>54</v>
      </c>
      <c r="D6" s="17" t="s">
        <v>55</v>
      </c>
      <c r="E6" s="32">
        <f>ROUND(Параметры!$B$5*(1+Параметры!$B$6),0)</f>
        <v>45</v>
      </c>
      <c r="F6" s="19">
        <v>700</v>
      </c>
      <c r="G6" s="20">
        <f>E6*F6</f>
        <v>31500</v>
      </c>
      <c r="H6" s="19">
        <v>1150</v>
      </c>
      <c r="I6" s="20">
        <f>E6*H6</f>
        <v>51750</v>
      </c>
      <c r="J6" s="19">
        <v>2300</v>
      </c>
      <c r="K6" s="20">
        <f>E6*J6</f>
        <v>103500</v>
      </c>
      <c r="L6" s="17" t="s">
        <v>56</v>
      </c>
      <c r="M6" s="18" t="s">
        <v>57</v>
      </c>
      <c r="N6" s="20">
        <f>IF(M6="МИН",G6,IF(M6="МАКС",K6,I6))</f>
        <v>51750</v>
      </c>
    </row>
    <row r="7" spans="1:14" ht="32" x14ac:dyDescent="0.2">
      <c r="A7" s="17">
        <v>2</v>
      </c>
      <c r="B7" s="17" t="s">
        <v>53</v>
      </c>
      <c r="C7" s="17" t="s">
        <v>58</v>
      </c>
      <c r="D7" s="17" t="s">
        <v>55</v>
      </c>
      <c r="E7" s="32">
        <f>ROUND(Параметры!$B$5*(1+Параметры!$B$6),0)</f>
        <v>45</v>
      </c>
      <c r="F7" s="19">
        <v>100</v>
      </c>
      <c r="G7" s="20">
        <f>E7*F7</f>
        <v>4500</v>
      </c>
      <c r="H7" s="19">
        <v>200</v>
      </c>
      <c r="I7" s="20">
        <f>E7*H7</f>
        <v>9000</v>
      </c>
      <c r="J7" s="19">
        <v>350</v>
      </c>
      <c r="K7" s="20">
        <f>E7*J7</f>
        <v>15750</v>
      </c>
      <c r="L7" s="17" t="s">
        <v>59</v>
      </c>
      <c r="M7" s="18" t="s">
        <v>57</v>
      </c>
      <c r="N7" s="20">
        <f>IF(M7="МИН",G7,IF(M7="МАКС",K7,I7))</f>
        <v>9000</v>
      </c>
    </row>
    <row r="8" spans="1:14" ht="16" x14ac:dyDescent="0.2">
      <c r="A8" s="17">
        <v>3</v>
      </c>
      <c r="B8" s="17" t="s">
        <v>53</v>
      </c>
      <c r="C8" s="17" t="s">
        <v>60</v>
      </c>
      <c r="D8" s="17" t="s">
        <v>55</v>
      </c>
      <c r="E8" s="32">
        <f>ROUND(Параметры!$B$5*(1+Параметры!$B$6),0)</f>
        <v>45</v>
      </c>
      <c r="F8" s="19">
        <v>30</v>
      </c>
      <c r="G8" s="20">
        <f>E8*F8</f>
        <v>1350</v>
      </c>
      <c r="H8" s="19">
        <v>40</v>
      </c>
      <c r="I8" s="20">
        <f>E8*H8</f>
        <v>1800</v>
      </c>
      <c r="J8" s="19">
        <v>40</v>
      </c>
      <c r="K8" s="20">
        <f>E8*J8</f>
        <v>1800</v>
      </c>
      <c r="L8" s="17" t="s">
        <v>61</v>
      </c>
      <c r="M8" s="18" t="s">
        <v>57</v>
      </c>
      <c r="N8" s="20">
        <f>IF(M8="МИН",G8,IF(M8="МАКС",K8,I8))</f>
        <v>1800</v>
      </c>
    </row>
    <row r="9" spans="1:14" ht="48" x14ac:dyDescent="0.2">
      <c r="A9" s="17">
        <v>4</v>
      </c>
      <c r="B9" s="17" t="s">
        <v>53</v>
      </c>
      <c r="C9" s="17" t="s">
        <v>62</v>
      </c>
      <c r="D9" s="17" t="s">
        <v>63</v>
      </c>
      <c r="E9" s="32">
        <f>Параметры!$B$8</f>
        <v>50</v>
      </c>
      <c r="F9" s="19">
        <v>130</v>
      </c>
      <c r="G9" s="20">
        <f>E9*F9</f>
        <v>6500</v>
      </c>
      <c r="H9" s="19">
        <v>350</v>
      </c>
      <c r="I9" s="20">
        <f>E9*H9</f>
        <v>17500</v>
      </c>
      <c r="J9" s="19">
        <v>800</v>
      </c>
      <c r="K9" s="20">
        <f>E9*J9</f>
        <v>40000</v>
      </c>
      <c r="L9" s="17" t="s">
        <v>64</v>
      </c>
      <c r="M9" s="18" t="s">
        <v>57</v>
      </c>
      <c r="N9" s="20">
        <f>IF(M9="МИН",G9,IF(M9="МАКС",K9,I9))</f>
        <v>17500</v>
      </c>
    </row>
    <row r="10" spans="1:14" ht="32" x14ac:dyDescent="0.2">
      <c r="A10" s="17">
        <v>5</v>
      </c>
      <c r="B10" s="17" t="s">
        <v>53</v>
      </c>
      <c r="C10" s="17" t="s">
        <v>65</v>
      </c>
      <c r="D10" s="17" t="s">
        <v>66</v>
      </c>
      <c r="E10" s="18">
        <v>1</v>
      </c>
      <c r="F10" s="19">
        <v>1500</v>
      </c>
      <c r="G10" s="20">
        <f>E10*F10</f>
        <v>1500</v>
      </c>
      <c r="H10" s="19">
        <v>3000</v>
      </c>
      <c r="I10" s="20">
        <f>E10*H10</f>
        <v>3000</v>
      </c>
      <c r="J10" s="19">
        <v>6000</v>
      </c>
      <c r="K10" s="20">
        <f>E10*J10</f>
        <v>6000</v>
      </c>
      <c r="L10" s="17" t="s">
        <v>67</v>
      </c>
      <c r="M10" s="18" t="s">
        <v>57</v>
      </c>
      <c r="N10" s="20">
        <f>IF(M10="МИН",G10,IF(M10="МАКС",K10,I10))</f>
        <v>3000</v>
      </c>
    </row>
    <row r="11" spans="1:14" x14ac:dyDescent="0.2">
      <c r="A11" s="15" t="s">
        <v>68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</row>
    <row r="12" spans="1:14" ht="48" x14ac:dyDescent="0.2">
      <c r="A12" s="17">
        <v>6</v>
      </c>
      <c r="B12" s="17" t="s">
        <v>69</v>
      </c>
      <c r="C12" s="17" t="s">
        <v>70</v>
      </c>
      <c r="D12" s="17" t="s">
        <v>55</v>
      </c>
      <c r="E12" s="32">
        <f>Параметры!$B$7</f>
        <v>52.4</v>
      </c>
      <c r="F12" s="19">
        <v>400</v>
      </c>
      <c r="G12" s="20">
        <f>E12*F12</f>
        <v>20960</v>
      </c>
      <c r="H12" s="19">
        <v>950</v>
      </c>
      <c r="I12" s="20">
        <f>E12*H12</f>
        <v>49780</v>
      </c>
      <c r="J12" s="19">
        <v>1800</v>
      </c>
      <c r="K12" s="20">
        <f>E12*J12</f>
        <v>94320</v>
      </c>
      <c r="L12" s="17" t="s">
        <v>71</v>
      </c>
      <c r="M12" s="18" t="s">
        <v>57</v>
      </c>
      <c r="N12" s="20">
        <f>IF(M12="МИН",G12,IF(M12="МАКС",K12,I12))</f>
        <v>49780</v>
      </c>
    </row>
    <row r="13" spans="1:14" ht="32" x14ac:dyDescent="0.2">
      <c r="A13" s="17">
        <v>7</v>
      </c>
      <c r="B13" s="17" t="s">
        <v>69</v>
      </c>
      <c r="C13" s="17" t="s">
        <v>72</v>
      </c>
      <c r="D13" s="17" t="s">
        <v>66</v>
      </c>
      <c r="E13" s="18">
        <v>1</v>
      </c>
      <c r="F13" s="19">
        <v>2000</v>
      </c>
      <c r="G13" s="20">
        <f>E13*F13</f>
        <v>2000</v>
      </c>
      <c r="H13" s="19">
        <v>4000</v>
      </c>
      <c r="I13" s="20">
        <f>E13*H13</f>
        <v>4000</v>
      </c>
      <c r="J13" s="19">
        <v>8000</v>
      </c>
      <c r="K13" s="20">
        <f>E13*J13</f>
        <v>8000</v>
      </c>
      <c r="L13" s="17" t="s">
        <v>73</v>
      </c>
      <c r="M13" s="18" t="s">
        <v>57</v>
      </c>
      <c r="N13" s="20">
        <f>IF(M13="МИН",G13,IF(M13="МАКС",K13,I13))</f>
        <v>4000</v>
      </c>
    </row>
    <row r="14" spans="1:14" ht="32" x14ac:dyDescent="0.2">
      <c r="A14" s="17">
        <v>8</v>
      </c>
      <c r="B14" s="17" t="s">
        <v>69</v>
      </c>
      <c r="C14" s="17" t="s">
        <v>74</v>
      </c>
      <c r="D14" s="17" t="s">
        <v>66</v>
      </c>
      <c r="E14" s="18">
        <v>1</v>
      </c>
      <c r="F14" s="19">
        <v>6000</v>
      </c>
      <c r="G14" s="20">
        <f>E14*F14</f>
        <v>6000</v>
      </c>
      <c r="H14" s="19">
        <v>12000</v>
      </c>
      <c r="I14" s="20">
        <f>E14*H14</f>
        <v>12000</v>
      </c>
      <c r="J14" s="19">
        <v>20000</v>
      </c>
      <c r="K14" s="20">
        <f>E14*J14</f>
        <v>20000</v>
      </c>
      <c r="L14" s="17"/>
      <c r="M14" s="18" t="s">
        <v>57</v>
      </c>
      <c r="N14" s="20">
        <f>IF(M14="МИН",G14,IF(M14="МАКС",K14,I14))</f>
        <v>12000</v>
      </c>
    </row>
    <row r="15" spans="1:14" ht="32" x14ac:dyDescent="0.2">
      <c r="A15" s="17">
        <v>9</v>
      </c>
      <c r="B15" s="17" t="s">
        <v>69</v>
      </c>
      <c r="C15" s="17" t="s">
        <v>75</v>
      </c>
      <c r="D15" s="17" t="s">
        <v>76</v>
      </c>
      <c r="E15" s="32">
        <f>Параметры!$B$12</f>
        <v>12</v>
      </c>
      <c r="F15" s="19">
        <v>250</v>
      </c>
      <c r="G15" s="20">
        <f>E15*F15</f>
        <v>3000</v>
      </c>
      <c r="H15" s="19">
        <v>700</v>
      </c>
      <c r="I15" s="20">
        <f>E15*H15</f>
        <v>8400</v>
      </c>
      <c r="J15" s="19">
        <v>2500</v>
      </c>
      <c r="K15" s="20">
        <f>E15*J15</f>
        <v>30000</v>
      </c>
      <c r="L15" s="17" t="s">
        <v>77</v>
      </c>
      <c r="M15" s="18" t="s">
        <v>57</v>
      </c>
      <c r="N15" s="20">
        <f>IF(M15="МИН",G15,IF(M15="МАКС",K15,I15))</f>
        <v>8400</v>
      </c>
    </row>
    <row r="16" spans="1:14" ht="32" x14ac:dyDescent="0.2">
      <c r="A16" s="17">
        <v>10</v>
      </c>
      <c r="B16" s="17" t="s">
        <v>69</v>
      </c>
      <c r="C16" s="17" t="s">
        <v>78</v>
      </c>
      <c r="D16" s="17" t="s">
        <v>66</v>
      </c>
      <c r="E16" s="18">
        <v>1</v>
      </c>
      <c r="F16" s="19">
        <v>0</v>
      </c>
      <c r="G16" s="20">
        <f>E16*F16</f>
        <v>0</v>
      </c>
      <c r="H16" s="19">
        <v>5000</v>
      </c>
      <c r="I16" s="20">
        <f>E16*H16</f>
        <v>5000</v>
      </c>
      <c r="J16" s="19">
        <v>12000</v>
      </c>
      <c r="K16" s="20">
        <f>E16*J16</f>
        <v>12000</v>
      </c>
      <c r="L16" s="17" t="s">
        <v>79</v>
      </c>
      <c r="M16" s="18" t="s">
        <v>57</v>
      </c>
      <c r="N16" s="20">
        <f>IF(M16="МИН",G16,IF(M16="МАКС",K16,I16))</f>
        <v>5000</v>
      </c>
    </row>
    <row r="17" spans="1:14" x14ac:dyDescent="0.2">
      <c r="A17" s="15" t="s">
        <v>80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</row>
    <row r="18" spans="1:14" ht="48" x14ac:dyDescent="0.2">
      <c r="A18" s="17">
        <v>11</v>
      </c>
      <c r="B18" s="17" t="s">
        <v>81</v>
      </c>
      <c r="C18" s="17" t="s">
        <v>82</v>
      </c>
      <c r="D18" s="17" t="s">
        <v>76</v>
      </c>
      <c r="E18" s="18">
        <v>1</v>
      </c>
      <c r="F18" s="19">
        <v>8000</v>
      </c>
      <c r="G18" s="20">
        <f t="shared" ref="G18:G31" si="0">E18*F18</f>
        <v>8000</v>
      </c>
      <c r="H18" s="19">
        <v>18000</v>
      </c>
      <c r="I18" s="20">
        <f t="shared" ref="I18:I31" si="1">E18*H18</f>
        <v>18000</v>
      </c>
      <c r="J18" s="19">
        <v>45000</v>
      </c>
      <c r="K18" s="20">
        <f t="shared" ref="K18:K31" si="2">E18*J18</f>
        <v>45000</v>
      </c>
      <c r="L18" s="17" t="s">
        <v>83</v>
      </c>
      <c r="M18" s="18" t="s">
        <v>57</v>
      </c>
      <c r="N18" s="20">
        <f t="shared" ref="N18:N31" si="3">IF(M18="МИН",G18,IF(M18="МАКС",K18,I18))</f>
        <v>18000</v>
      </c>
    </row>
    <row r="19" spans="1:14" ht="16" x14ac:dyDescent="0.2">
      <c r="A19" s="17">
        <v>12</v>
      </c>
      <c r="B19" s="17" t="s">
        <v>81</v>
      </c>
      <c r="C19" s="17" t="s">
        <v>84</v>
      </c>
      <c r="D19" s="17" t="s">
        <v>76</v>
      </c>
      <c r="E19" s="32">
        <f>Параметры!$B$14</f>
        <v>2</v>
      </c>
      <c r="F19" s="19">
        <v>3000</v>
      </c>
      <c r="G19" s="20">
        <f t="shared" si="0"/>
        <v>6000</v>
      </c>
      <c r="H19" s="19">
        <v>8000</v>
      </c>
      <c r="I19" s="20">
        <f t="shared" si="1"/>
        <v>16000</v>
      </c>
      <c r="J19" s="19">
        <v>18000</v>
      </c>
      <c r="K19" s="20">
        <f t="shared" si="2"/>
        <v>36000</v>
      </c>
      <c r="L19" s="17"/>
      <c r="M19" s="18" t="s">
        <v>57</v>
      </c>
      <c r="N19" s="20">
        <f t="shared" si="3"/>
        <v>16000</v>
      </c>
    </row>
    <row r="20" spans="1:14" ht="32" x14ac:dyDescent="0.2">
      <c r="A20" s="17">
        <v>13</v>
      </c>
      <c r="B20" s="17" t="s">
        <v>81</v>
      </c>
      <c r="C20" s="17" t="s">
        <v>85</v>
      </c>
      <c r="D20" s="17" t="s">
        <v>76</v>
      </c>
      <c r="E20" s="32">
        <f>Параметры!$B$14</f>
        <v>2</v>
      </c>
      <c r="F20" s="19">
        <v>2500</v>
      </c>
      <c r="G20" s="20">
        <f t="shared" si="0"/>
        <v>5000</v>
      </c>
      <c r="H20" s="19">
        <v>7000</v>
      </c>
      <c r="I20" s="20">
        <f t="shared" si="1"/>
        <v>14000</v>
      </c>
      <c r="J20" s="19">
        <v>18000</v>
      </c>
      <c r="K20" s="20">
        <f t="shared" si="2"/>
        <v>36000</v>
      </c>
      <c r="L20" s="17" t="s">
        <v>86</v>
      </c>
      <c r="M20" s="18" t="s">
        <v>57</v>
      </c>
      <c r="N20" s="20">
        <f t="shared" si="3"/>
        <v>14000</v>
      </c>
    </row>
    <row r="21" spans="1:14" ht="16" x14ac:dyDescent="0.2">
      <c r="A21" s="17">
        <v>14</v>
      </c>
      <c r="B21" s="17" t="s">
        <v>81</v>
      </c>
      <c r="C21" s="17" t="s">
        <v>87</v>
      </c>
      <c r="D21" s="17" t="s">
        <v>76</v>
      </c>
      <c r="E21" s="32">
        <f>Параметры!$B$14</f>
        <v>2</v>
      </c>
      <c r="F21" s="19">
        <v>700</v>
      </c>
      <c r="G21" s="20">
        <f t="shared" si="0"/>
        <v>1400</v>
      </c>
      <c r="H21" s="19">
        <v>1500</v>
      </c>
      <c r="I21" s="20">
        <f t="shared" si="1"/>
        <v>3000</v>
      </c>
      <c r="J21" s="19">
        <v>3500</v>
      </c>
      <c r="K21" s="20">
        <f t="shared" si="2"/>
        <v>7000</v>
      </c>
      <c r="L21" s="17"/>
      <c r="M21" s="18" t="s">
        <v>57</v>
      </c>
      <c r="N21" s="20">
        <f t="shared" si="3"/>
        <v>3000</v>
      </c>
    </row>
    <row r="22" spans="1:14" ht="32" x14ac:dyDescent="0.2">
      <c r="A22" s="17">
        <v>15</v>
      </c>
      <c r="B22" s="17" t="s">
        <v>81</v>
      </c>
      <c r="C22" s="17" t="s">
        <v>88</v>
      </c>
      <c r="D22" s="17" t="s">
        <v>76</v>
      </c>
      <c r="E22" s="32">
        <f>Параметры!$B$14</f>
        <v>2</v>
      </c>
      <c r="F22" s="19">
        <v>6000</v>
      </c>
      <c r="G22" s="20">
        <f t="shared" si="0"/>
        <v>12000</v>
      </c>
      <c r="H22" s="19">
        <v>18000</v>
      </c>
      <c r="I22" s="20">
        <f t="shared" si="1"/>
        <v>36000</v>
      </c>
      <c r="J22" s="19">
        <v>45000</v>
      </c>
      <c r="K22" s="20">
        <f t="shared" si="2"/>
        <v>90000</v>
      </c>
      <c r="L22" s="17" t="s">
        <v>89</v>
      </c>
      <c r="M22" s="18" t="s">
        <v>57</v>
      </c>
      <c r="N22" s="20">
        <f t="shared" si="3"/>
        <v>36000</v>
      </c>
    </row>
    <row r="23" spans="1:14" ht="32" x14ac:dyDescent="0.2">
      <c r="A23" s="17">
        <v>16</v>
      </c>
      <c r="B23" s="17" t="s">
        <v>81</v>
      </c>
      <c r="C23" s="17" t="s">
        <v>90</v>
      </c>
      <c r="D23" s="17" t="s">
        <v>66</v>
      </c>
      <c r="E23" s="18">
        <v>1</v>
      </c>
      <c r="F23" s="19">
        <v>4000</v>
      </c>
      <c r="G23" s="20">
        <f t="shared" si="0"/>
        <v>4000</v>
      </c>
      <c r="H23" s="19">
        <v>15000</v>
      </c>
      <c r="I23" s="20">
        <f t="shared" si="1"/>
        <v>15000</v>
      </c>
      <c r="J23" s="19">
        <v>45000</v>
      </c>
      <c r="K23" s="20">
        <f t="shared" si="2"/>
        <v>45000</v>
      </c>
      <c r="L23" s="17" t="s">
        <v>91</v>
      </c>
      <c r="M23" s="18" t="s">
        <v>57</v>
      </c>
      <c r="N23" s="20">
        <f t="shared" si="3"/>
        <v>15000</v>
      </c>
    </row>
    <row r="24" spans="1:14" ht="32" x14ac:dyDescent="0.2">
      <c r="A24" s="17">
        <v>17</v>
      </c>
      <c r="B24" s="17" t="s">
        <v>81</v>
      </c>
      <c r="C24" s="17" t="s">
        <v>92</v>
      </c>
      <c r="D24" s="17" t="s">
        <v>76</v>
      </c>
      <c r="E24" s="18">
        <v>1</v>
      </c>
      <c r="F24" s="19">
        <v>3000</v>
      </c>
      <c r="G24" s="20">
        <f t="shared" si="0"/>
        <v>3000</v>
      </c>
      <c r="H24" s="19">
        <v>30000</v>
      </c>
      <c r="I24" s="20">
        <f t="shared" si="1"/>
        <v>30000</v>
      </c>
      <c r="J24" s="19">
        <v>60000</v>
      </c>
      <c r="K24" s="20">
        <f t="shared" si="2"/>
        <v>60000</v>
      </c>
      <c r="L24" s="17" t="s">
        <v>93</v>
      </c>
      <c r="M24" s="18" t="s">
        <v>57</v>
      </c>
      <c r="N24" s="20">
        <f t="shared" si="3"/>
        <v>30000</v>
      </c>
    </row>
    <row r="25" spans="1:14" ht="32" x14ac:dyDescent="0.2">
      <c r="A25" s="17">
        <v>18</v>
      </c>
      <c r="B25" s="17" t="s">
        <v>81</v>
      </c>
      <c r="C25" s="17" t="s">
        <v>94</v>
      </c>
      <c r="D25" s="17" t="s">
        <v>66</v>
      </c>
      <c r="E25" s="18">
        <v>1</v>
      </c>
      <c r="F25" s="19">
        <v>2500</v>
      </c>
      <c r="G25" s="20">
        <f t="shared" si="0"/>
        <v>2500</v>
      </c>
      <c r="H25" s="19">
        <v>7000</v>
      </c>
      <c r="I25" s="20">
        <f t="shared" si="1"/>
        <v>7000</v>
      </c>
      <c r="J25" s="19">
        <v>15000</v>
      </c>
      <c r="K25" s="20">
        <f t="shared" si="2"/>
        <v>15000</v>
      </c>
      <c r="L25" s="17"/>
      <c r="M25" s="18" t="s">
        <v>57</v>
      </c>
      <c r="N25" s="20">
        <f t="shared" si="3"/>
        <v>7000</v>
      </c>
    </row>
    <row r="26" spans="1:14" ht="16" x14ac:dyDescent="0.2">
      <c r="A26" s="17">
        <v>19</v>
      </c>
      <c r="B26" s="17" t="s">
        <v>81</v>
      </c>
      <c r="C26" s="17" t="s">
        <v>95</v>
      </c>
      <c r="D26" s="17" t="s">
        <v>76</v>
      </c>
      <c r="E26" s="18">
        <v>1</v>
      </c>
      <c r="F26" s="19">
        <v>4000</v>
      </c>
      <c r="G26" s="20">
        <f t="shared" si="0"/>
        <v>4000</v>
      </c>
      <c r="H26" s="19">
        <v>12000</v>
      </c>
      <c r="I26" s="20">
        <f t="shared" si="1"/>
        <v>12000</v>
      </c>
      <c r="J26" s="19">
        <v>25000</v>
      </c>
      <c r="K26" s="20">
        <f t="shared" si="2"/>
        <v>25000</v>
      </c>
      <c r="L26" s="17" t="s">
        <v>96</v>
      </c>
      <c r="M26" s="18" t="s">
        <v>57</v>
      </c>
      <c r="N26" s="20">
        <f t="shared" si="3"/>
        <v>12000</v>
      </c>
    </row>
    <row r="27" spans="1:14" ht="16" x14ac:dyDescent="0.2">
      <c r="A27" s="17">
        <v>20</v>
      </c>
      <c r="B27" s="17" t="s">
        <v>81</v>
      </c>
      <c r="C27" s="17" t="s">
        <v>97</v>
      </c>
      <c r="D27" s="17" t="s">
        <v>76</v>
      </c>
      <c r="E27" s="32">
        <f>Параметры!$B$14</f>
        <v>2</v>
      </c>
      <c r="F27" s="19">
        <v>1500</v>
      </c>
      <c r="G27" s="20">
        <f t="shared" si="0"/>
        <v>3000</v>
      </c>
      <c r="H27" s="19">
        <v>6000</v>
      </c>
      <c r="I27" s="20">
        <f t="shared" si="1"/>
        <v>12000</v>
      </c>
      <c r="J27" s="19">
        <v>15000</v>
      </c>
      <c r="K27" s="20">
        <f t="shared" si="2"/>
        <v>30000</v>
      </c>
      <c r="L27" s="17"/>
      <c r="M27" s="18" t="s">
        <v>57</v>
      </c>
      <c r="N27" s="20">
        <f t="shared" si="3"/>
        <v>12000</v>
      </c>
    </row>
    <row r="28" spans="1:14" ht="16" x14ac:dyDescent="0.2">
      <c r="A28" s="17">
        <v>21</v>
      </c>
      <c r="B28" s="17" t="s">
        <v>81</v>
      </c>
      <c r="C28" s="17" t="s">
        <v>98</v>
      </c>
      <c r="D28" s="17" t="s">
        <v>76</v>
      </c>
      <c r="E28" s="32">
        <f>Параметры!$B$13</f>
        <v>2</v>
      </c>
      <c r="F28" s="19">
        <v>800</v>
      </c>
      <c r="G28" s="20">
        <f t="shared" si="0"/>
        <v>1600</v>
      </c>
      <c r="H28" s="19">
        <v>3000</v>
      </c>
      <c r="I28" s="20">
        <f t="shared" si="1"/>
        <v>6000</v>
      </c>
      <c r="J28" s="19">
        <v>7000</v>
      </c>
      <c r="K28" s="20">
        <f t="shared" si="2"/>
        <v>14000</v>
      </c>
      <c r="L28" s="17" t="s">
        <v>99</v>
      </c>
      <c r="M28" s="18" t="s">
        <v>57</v>
      </c>
      <c r="N28" s="20">
        <f t="shared" si="3"/>
        <v>6000</v>
      </c>
    </row>
    <row r="29" spans="1:14" ht="32" x14ac:dyDescent="0.2">
      <c r="A29" s="17">
        <v>22</v>
      </c>
      <c r="B29" s="17" t="s">
        <v>81</v>
      </c>
      <c r="C29" s="17" t="s">
        <v>100</v>
      </c>
      <c r="D29" s="17" t="s">
        <v>66</v>
      </c>
      <c r="E29" s="18">
        <v>1</v>
      </c>
      <c r="F29" s="19">
        <v>2500</v>
      </c>
      <c r="G29" s="20">
        <f t="shared" si="0"/>
        <v>2500</v>
      </c>
      <c r="H29" s="19">
        <v>7000</v>
      </c>
      <c r="I29" s="20">
        <f t="shared" si="1"/>
        <v>7000</v>
      </c>
      <c r="J29" s="19">
        <v>20000</v>
      </c>
      <c r="K29" s="20">
        <f t="shared" si="2"/>
        <v>20000</v>
      </c>
      <c r="L29" s="17"/>
      <c r="M29" s="18" t="s">
        <v>57</v>
      </c>
      <c r="N29" s="20">
        <f t="shared" si="3"/>
        <v>7000</v>
      </c>
    </row>
    <row r="30" spans="1:14" ht="16" x14ac:dyDescent="0.2">
      <c r="A30" s="17">
        <v>23</v>
      </c>
      <c r="B30" s="17" t="s">
        <v>81</v>
      </c>
      <c r="C30" s="17" t="s">
        <v>101</v>
      </c>
      <c r="D30" s="17" t="s">
        <v>76</v>
      </c>
      <c r="E30" s="18">
        <v>1</v>
      </c>
      <c r="F30" s="19">
        <v>2000</v>
      </c>
      <c r="G30" s="20">
        <f t="shared" si="0"/>
        <v>2000</v>
      </c>
      <c r="H30" s="19">
        <v>5000</v>
      </c>
      <c r="I30" s="20">
        <f t="shared" si="1"/>
        <v>5000</v>
      </c>
      <c r="J30" s="19">
        <v>12000</v>
      </c>
      <c r="K30" s="20">
        <f t="shared" si="2"/>
        <v>12000</v>
      </c>
      <c r="L30" s="17" t="s">
        <v>102</v>
      </c>
      <c r="M30" s="18" t="s">
        <v>57</v>
      </c>
      <c r="N30" s="20">
        <f t="shared" si="3"/>
        <v>5000</v>
      </c>
    </row>
    <row r="31" spans="1:14" ht="32" x14ac:dyDescent="0.2">
      <c r="A31" s="17">
        <v>24</v>
      </c>
      <c r="B31" s="17" t="s">
        <v>81</v>
      </c>
      <c r="C31" s="17" t="s">
        <v>103</v>
      </c>
      <c r="D31" s="17" t="s">
        <v>66</v>
      </c>
      <c r="E31" s="18">
        <v>1</v>
      </c>
      <c r="F31" s="19">
        <v>3000</v>
      </c>
      <c r="G31" s="20">
        <f t="shared" si="0"/>
        <v>3000</v>
      </c>
      <c r="H31" s="19">
        <v>6000</v>
      </c>
      <c r="I31" s="20">
        <f t="shared" si="1"/>
        <v>6000</v>
      </c>
      <c r="J31" s="19">
        <v>10000</v>
      </c>
      <c r="K31" s="20">
        <f t="shared" si="2"/>
        <v>10000</v>
      </c>
      <c r="L31" s="17"/>
      <c r="M31" s="18" t="s">
        <v>57</v>
      </c>
      <c r="N31" s="20">
        <f t="shared" si="3"/>
        <v>6000</v>
      </c>
    </row>
    <row r="32" spans="1:14" x14ac:dyDescent="0.2">
      <c r="A32" s="15" t="s">
        <v>104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</row>
    <row r="33" spans="1:14" ht="32" x14ac:dyDescent="0.2">
      <c r="A33" s="17">
        <v>25</v>
      </c>
      <c r="B33" s="17" t="s">
        <v>105</v>
      </c>
      <c r="C33" s="17" t="s">
        <v>106</v>
      </c>
      <c r="D33" s="17" t="s">
        <v>76</v>
      </c>
      <c r="E33" s="32">
        <f>Параметры!$B$9</f>
        <v>30</v>
      </c>
      <c r="F33" s="19">
        <v>200</v>
      </c>
      <c r="G33" s="20">
        <f t="shared" ref="G33:G39" si="4">E33*F33</f>
        <v>6000</v>
      </c>
      <c r="H33" s="19">
        <v>900</v>
      </c>
      <c r="I33" s="20">
        <f t="shared" ref="I33:I39" si="5">E33*H33</f>
        <v>27000</v>
      </c>
      <c r="J33" s="19">
        <v>2200</v>
      </c>
      <c r="K33" s="20">
        <f t="shared" ref="K33:K39" si="6">E33*J33</f>
        <v>66000</v>
      </c>
      <c r="L33" s="17" t="s">
        <v>107</v>
      </c>
      <c r="M33" s="18" t="s">
        <v>57</v>
      </c>
      <c r="N33" s="20">
        <f t="shared" ref="N33:N39" si="7">IF(M33="МИН",G33,IF(M33="МАКС",K33,I33))</f>
        <v>27000</v>
      </c>
    </row>
    <row r="34" spans="1:14" ht="16" x14ac:dyDescent="0.2">
      <c r="A34" s="17">
        <v>26</v>
      </c>
      <c r="B34" s="17" t="s">
        <v>105</v>
      </c>
      <c r="C34" s="17" t="s">
        <v>108</v>
      </c>
      <c r="D34" s="17" t="s">
        <v>76</v>
      </c>
      <c r="E34" s="32">
        <f>Параметры!$B$10</f>
        <v>8</v>
      </c>
      <c r="F34" s="19">
        <v>200</v>
      </c>
      <c r="G34" s="20">
        <f t="shared" si="4"/>
        <v>1600</v>
      </c>
      <c r="H34" s="19">
        <v>900</v>
      </c>
      <c r="I34" s="20">
        <f t="shared" si="5"/>
        <v>7200</v>
      </c>
      <c r="J34" s="19">
        <v>2500</v>
      </c>
      <c r="K34" s="20">
        <f t="shared" si="6"/>
        <v>20000</v>
      </c>
      <c r="L34" s="17"/>
      <c r="M34" s="18" t="s">
        <v>57</v>
      </c>
      <c r="N34" s="20">
        <f t="shared" si="7"/>
        <v>7200</v>
      </c>
    </row>
    <row r="35" spans="1:14" ht="16" x14ac:dyDescent="0.2">
      <c r="A35" s="17">
        <v>27</v>
      </c>
      <c r="B35" s="17" t="s">
        <v>105</v>
      </c>
      <c r="C35" s="17" t="s">
        <v>109</v>
      </c>
      <c r="D35" s="17" t="s">
        <v>76</v>
      </c>
      <c r="E35" s="32">
        <f>Параметры!$B$11</f>
        <v>25</v>
      </c>
      <c r="F35" s="19">
        <v>60</v>
      </c>
      <c r="G35" s="20">
        <f t="shared" si="4"/>
        <v>1500</v>
      </c>
      <c r="H35" s="19">
        <v>250</v>
      </c>
      <c r="I35" s="20">
        <f t="shared" si="5"/>
        <v>6250</v>
      </c>
      <c r="J35" s="19">
        <v>800</v>
      </c>
      <c r="K35" s="20">
        <f t="shared" si="6"/>
        <v>20000</v>
      </c>
      <c r="L35" s="17"/>
      <c r="M35" s="18" t="s">
        <v>57</v>
      </c>
      <c r="N35" s="20">
        <f t="shared" si="7"/>
        <v>6250</v>
      </c>
    </row>
    <row r="36" spans="1:14" ht="16" x14ac:dyDescent="0.2">
      <c r="A36" s="17">
        <v>28</v>
      </c>
      <c r="B36" s="17" t="s">
        <v>105</v>
      </c>
      <c r="C36" s="17" t="s">
        <v>110</v>
      </c>
      <c r="D36" s="17" t="s">
        <v>76</v>
      </c>
      <c r="E36" s="32">
        <f>Параметры!$B$9+Параметры!$B$10</f>
        <v>38</v>
      </c>
      <c r="F36" s="19">
        <v>60</v>
      </c>
      <c r="G36" s="20">
        <f t="shared" si="4"/>
        <v>2280</v>
      </c>
      <c r="H36" s="19">
        <v>60</v>
      </c>
      <c r="I36" s="20">
        <f t="shared" si="5"/>
        <v>2280</v>
      </c>
      <c r="J36" s="19">
        <v>60</v>
      </c>
      <c r="K36" s="20">
        <f t="shared" si="6"/>
        <v>2280</v>
      </c>
      <c r="L36" s="17" t="s">
        <v>111</v>
      </c>
      <c r="M36" s="18" t="s">
        <v>57</v>
      </c>
      <c r="N36" s="20">
        <f t="shared" si="7"/>
        <v>2280</v>
      </c>
    </row>
    <row r="37" spans="1:14" ht="32" x14ac:dyDescent="0.2">
      <c r="A37" s="17">
        <v>29</v>
      </c>
      <c r="B37" s="17" t="s">
        <v>105</v>
      </c>
      <c r="C37" s="17" t="s">
        <v>112</v>
      </c>
      <c r="D37" s="17" t="s">
        <v>66</v>
      </c>
      <c r="E37" s="18">
        <v>1</v>
      </c>
      <c r="F37" s="19">
        <v>8000</v>
      </c>
      <c r="G37" s="20">
        <f t="shared" si="4"/>
        <v>8000</v>
      </c>
      <c r="H37" s="19">
        <v>25000</v>
      </c>
      <c r="I37" s="20">
        <f t="shared" si="5"/>
        <v>25000</v>
      </c>
      <c r="J37" s="19">
        <v>60000</v>
      </c>
      <c r="K37" s="20">
        <f t="shared" si="6"/>
        <v>60000</v>
      </c>
      <c r="L37" s="17" t="s">
        <v>113</v>
      </c>
      <c r="M37" s="18" t="s">
        <v>57</v>
      </c>
      <c r="N37" s="20">
        <f t="shared" si="7"/>
        <v>25000</v>
      </c>
    </row>
    <row r="38" spans="1:14" ht="32" x14ac:dyDescent="0.2">
      <c r="A38" s="17">
        <v>30</v>
      </c>
      <c r="B38" s="17" t="s">
        <v>105</v>
      </c>
      <c r="C38" s="17" t="s">
        <v>114</v>
      </c>
      <c r="D38" s="17" t="s">
        <v>66</v>
      </c>
      <c r="E38" s="18">
        <v>1</v>
      </c>
      <c r="F38" s="19">
        <v>3000</v>
      </c>
      <c r="G38" s="20">
        <f t="shared" si="4"/>
        <v>3000</v>
      </c>
      <c r="H38" s="19">
        <v>6000</v>
      </c>
      <c r="I38" s="20">
        <f t="shared" si="5"/>
        <v>6000</v>
      </c>
      <c r="J38" s="19">
        <v>10000</v>
      </c>
      <c r="K38" s="20">
        <f t="shared" si="6"/>
        <v>10000</v>
      </c>
      <c r="L38" s="17"/>
      <c r="M38" s="18" t="s">
        <v>57</v>
      </c>
      <c r="N38" s="20">
        <f t="shared" si="7"/>
        <v>6000</v>
      </c>
    </row>
    <row r="39" spans="1:14" ht="32" x14ac:dyDescent="0.2">
      <c r="A39" s="17">
        <v>31</v>
      </c>
      <c r="B39" s="17" t="s">
        <v>105</v>
      </c>
      <c r="C39" s="17" t="s">
        <v>115</v>
      </c>
      <c r="D39" s="17" t="s">
        <v>66</v>
      </c>
      <c r="E39" s="18">
        <v>1</v>
      </c>
      <c r="F39" s="19">
        <v>3500</v>
      </c>
      <c r="G39" s="20">
        <f t="shared" si="4"/>
        <v>3500</v>
      </c>
      <c r="H39" s="19">
        <v>4500</v>
      </c>
      <c r="I39" s="20">
        <f t="shared" si="5"/>
        <v>4500</v>
      </c>
      <c r="J39" s="19">
        <v>6000</v>
      </c>
      <c r="K39" s="20">
        <f t="shared" si="6"/>
        <v>6000</v>
      </c>
      <c r="L39" s="17" t="s">
        <v>116</v>
      </c>
      <c r="M39" s="18" t="s">
        <v>57</v>
      </c>
      <c r="N39" s="20">
        <f t="shared" si="7"/>
        <v>4500</v>
      </c>
    </row>
    <row r="40" spans="1:14" x14ac:dyDescent="0.2">
      <c r="A40" s="15" t="s">
        <v>117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</row>
    <row r="41" spans="1:14" ht="64" x14ac:dyDescent="0.2">
      <c r="A41" s="17">
        <v>32</v>
      </c>
      <c r="B41" s="17" t="s">
        <v>118</v>
      </c>
      <c r="C41" s="17" t="s">
        <v>119</v>
      </c>
      <c r="D41" s="17" t="s">
        <v>55</v>
      </c>
      <c r="E41" s="32">
        <f>Параметры!$B$15</f>
        <v>120</v>
      </c>
      <c r="F41" s="19">
        <v>200</v>
      </c>
      <c r="G41" s="20">
        <f>E41*F41</f>
        <v>24000</v>
      </c>
      <c r="H41" s="19">
        <v>450</v>
      </c>
      <c r="I41" s="20">
        <f>E41*H41</f>
        <v>54000</v>
      </c>
      <c r="J41" s="19">
        <v>1200</v>
      </c>
      <c r="K41" s="20">
        <f>E41*J41</f>
        <v>144000</v>
      </c>
      <c r="L41" s="17" t="s">
        <v>120</v>
      </c>
      <c r="M41" s="18" t="s">
        <v>57</v>
      </c>
      <c r="N41" s="20">
        <f>IF(M41="МИН",G41,IF(M41="МАКС",K41,I41))</f>
        <v>54000</v>
      </c>
    </row>
    <row r="42" spans="1:14" ht="32" x14ac:dyDescent="0.2">
      <c r="A42" s="17">
        <v>33</v>
      </c>
      <c r="B42" s="17" t="s">
        <v>118</v>
      </c>
      <c r="C42" s="17" t="s">
        <v>121</v>
      </c>
      <c r="D42" s="17" t="s">
        <v>66</v>
      </c>
      <c r="E42" s="18">
        <v>1</v>
      </c>
      <c r="F42" s="19">
        <v>4000</v>
      </c>
      <c r="G42" s="20">
        <f>E42*F42</f>
        <v>4000</v>
      </c>
      <c r="H42" s="19">
        <v>7000</v>
      </c>
      <c r="I42" s="20">
        <f>E42*H42</f>
        <v>7000</v>
      </c>
      <c r="J42" s="19">
        <v>12000</v>
      </c>
      <c r="K42" s="20">
        <f>E42*J42</f>
        <v>12000</v>
      </c>
      <c r="L42" s="17"/>
      <c r="M42" s="18" t="s">
        <v>57</v>
      </c>
      <c r="N42" s="20">
        <f>IF(M42="МИН",G42,IF(M42="МАКС",K42,I42))</f>
        <v>7000</v>
      </c>
    </row>
    <row r="43" spans="1:14" ht="32" x14ac:dyDescent="0.2">
      <c r="A43" s="17">
        <v>34</v>
      </c>
      <c r="B43" s="17" t="s">
        <v>118</v>
      </c>
      <c r="C43" s="17" t="s">
        <v>122</v>
      </c>
      <c r="D43" s="17" t="s">
        <v>66</v>
      </c>
      <c r="E43" s="18">
        <v>1</v>
      </c>
      <c r="F43" s="19">
        <v>0</v>
      </c>
      <c r="G43" s="20">
        <f>E43*F43</f>
        <v>0</v>
      </c>
      <c r="H43" s="19">
        <v>15000</v>
      </c>
      <c r="I43" s="20">
        <f>E43*H43</f>
        <v>15000</v>
      </c>
      <c r="J43" s="19">
        <v>60000</v>
      </c>
      <c r="K43" s="20">
        <f>E43*J43</f>
        <v>60000</v>
      </c>
      <c r="L43" s="17" t="s">
        <v>123</v>
      </c>
      <c r="M43" s="18" t="s">
        <v>57</v>
      </c>
      <c r="N43" s="20">
        <f>IF(M43="МИН",G43,IF(M43="МАКС",K43,I43))</f>
        <v>15000</v>
      </c>
    </row>
    <row r="44" spans="1:14" x14ac:dyDescent="0.2">
      <c r="A44" s="15" t="s">
        <v>124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</row>
    <row r="45" spans="1:14" ht="48" x14ac:dyDescent="0.2">
      <c r="A45" s="17">
        <v>35</v>
      </c>
      <c r="B45" s="17" t="s">
        <v>125</v>
      </c>
      <c r="C45" s="17" t="s">
        <v>126</v>
      </c>
      <c r="D45" s="17" t="s">
        <v>76</v>
      </c>
      <c r="E45" s="32">
        <f>Параметры!$B$16</f>
        <v>3</v>
      </c>
      <c r="F45" s="19">
        <v>8000</v>
      </c>
      <c r="G45" s="20">
        <f>E45*F45</f>
        <v>24000</v>
      </c>
      <c r="H45" s="19">
        <v>18000</v>
      </c>
      <c r="I45" s="20">
        <f>E45*H45</f>
        <v>54000</v>
      </c>
      <c r="J45" s="19">
        <v>45000</v>
      </c>
      <c r="K45" s="20">
        <f>E45*J45</f>
        <v>135000</v>
      </c>
      <c r="L45" s="17" t="s">
        <v>127</v>
      </c>
      <c r="M45" s="18" t="s">
        <v>57</v>
      </c>
      <c r="N45" s="20">
        <f>IF(M45="МИН",G45,IF(M45="МАКС",K45,I45))</f>
        <v>54000</v>
      </c>
    </row>
    <row r="46" spans="1:14" ht="48" x14ac:dyDescent="0.2">
      <c r="A46" s="17">
        <v>36</v>
      </c>
      <c r="B46" s="17" t="s">
        <v>125</v>
      </c>
      <c r="C46" s="17" t="s">
        <v>128</v>
      </c>
      <c r="D46" s="17" t="s">
        <v>76</v>
      </c>
      <c r="E46" s="32">
        <f>Параметры!$B$17</f>
        <v>1</v>
      </c>
      <c r="F46" s="19">
        <v>16000</v>
      </c>
      <c r="G46" s="20">
        <f>E46*F46</f>
        <v>16000</v>
      </c>
      <c r="H46" s="19">
        <v>35000</v>
      </c>
      <c r="I46" s="20">
        <f>E46*H46</f>
        <v>35000</v>
      </c>
      <c r="J46" s="19">
        <v>90000</v>
      </c>
      <c r="K46" s="20">
        <f>E46*J46</f>
        <v>90000</v>
      </c>
      <c r="L46" s="17" t="s">
        <v>129</v>
      </c>
      <c r="M46" s="18" t="s">
        <v>57</v>
      </c>
      <c r="N46" s="20">
        <f>IF(M46="МИН",G46,IF(M46="МАКС",K46,I46))</f>
        <v>35000</v>
      </c>
    </row>
    <row r="47" spans="1:14" ht="32" x14ac:dyDescent="0.2">
      <c r="A47" s="17">
        <v>37</v>
      </c>
      <c r="B47" s="17" t="s">
        <v>125</v>
      </c>
      <c r="C47" s="17" t="s">
        <v>130</v>
      </c>
      <c r="D47" s="17" t="s">
        <v>66</v>
      </c>
      <c r="E47" s="18">
        <v>1</v>
      </c>
      <c r="F47" s="19">
        <v>3000</v>
      </c>
      <c r="G47" s="20">
        <f>E47*F47</f>
        <v>3000</v>
      </c>
      <c r="H47" s="19">
        <v>6000</v>
      </c>
      <c r="I47" s="20">
        <f>E47*H47</f>
        <v>6000</v>
      </c>
      <c r="J47" s="19">
        <v>12000</v>
      </c>
      <c r="K47" s="20">
        <f>E47*J47</f>
        <v>12000</v>
      </c>
      <c r="L47" s="17" t="s">
        <v>131</v>
      </c>
      <c r="M47" s="18" t="s">
        <v>57</v>
      </c>
      <c r="N47" s="20">
        <f>IF(M47="МИН",G47,IF(M47="МАКС",K47,I47))</f>
        <v>6000</v>
      </c>
    </row>
    <row r="48" spans="1:14" x14ac:dyDescent="0.2">
      <c r="A48" s="15" t="s">
        <v>132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</row>
    <row r="49" spans="1:14" ht="32" x14ac:dyDescent="0.2">
      <c r="A49" s="17">
        <v>38</v>
      </c>
      <c r="B49" s="17" t="s">
        <v>133</v>
      </c>
      <c r="C49" s="17" t="s">
        <v>134</v>
      </c>
      <c r="D49" s="17" t="s">
        <v>66</v>
      </c>
      <c r="E49" s="18">
        <v>1</v>
      </c>
      <c r="F49" s="19">
        <v>5000</v>
      </c>
      <c r="G49" s="20">
        <f t="shared" ref="G49:G71" si="8">E49*F49</f>
        <v>5000</v>
      </c>
      <c r="H49" s="19">
        <v>12000</v>
      </c>
      <c r="I49" s="20">
        <f t="shared" ref="I49:I71" si="9">E49*H49</f>
        <v>12000</v>
      </c>
      <c r="J49" s="19">
        <v>25000</v>
      </c>
      <c r="K49" s="20">
        <f t="shared" ref="K49:K71" si="10">E49*J49</f>
        <v>25000</v>
      </c>
      <c r="L49" s="17" t="s">
        <v>135</v>
      </c>
      <c r="M49" s="18" t="s">
        <v>57</v>
      </c>
      <c r="N49" s="20">
        <f t="shared" ref="N49:N71" si="11">IF(M49="МИН",G49,IF(M49="МАКС",K49,I49))</f>
        <v>12000</v>
      </c>
    </row>
    <row r="50" spans="1:14" ht="16" x14ac:dyDescent="0.2">
      <c r="A50" s="17">
        <v>39</v>
      </c>
      <c r="B50" s="17" t="s">
        <v>133</v>
      </c>
      <c r="C50" s="17" t="s">
        <v>136</v>
      </c>
      <c r="D50" s="17" t="s">
        <v>55</v>
      </c>
      <c r="E50" s="32">
        <f>Параметры!$B$5</f>
        <v>42</v>
      </c>
      <c r="F50" s="19">
        <v>300</v>
      </c>
      <c r="G50" s="20">
        <f t="shared" si="8"/>
        <v>12600</v>
      </c>
      <c r="H50" s="19">
        <v>450</v>
      </c>
      <c r="I50" s="20">
        <f t="shared" si="9"/>
        <v>18900</v>
      </c>
      <c r="J50" s="19">
        <v>700</v>
      </c>
      <c r="K50" s="20">
        <f t="shared" si="10"/>
        <v>29400</v>
      </c>
      <c r="L50" s="17" t="s">
        <v>137</v>
      </c>
      <c r="M50" s="18" t="s">
        <v>57</v>
      </c>
      <c r="N50" s="20">
        <f t="shared" si="11"/>
        <v>18900</v>
      </c>
    </row>
    <row r="51" spans="1:14" ht="16" x14ac:dyDescent="0.2">
      <c r="A51" s="17">
        <v>40</v>
      </c>
      <c r="B51" s="17" t="s">
        <v>133</v>
      </c>
      <c r="C51" s="17" t="s">
        <v>138</v>
      </c>
      <c r="D51" s="17" t="s">
        <v>63</v>
      </c>
      <c r="E51" s="32">
        <f>Параметры!$B$8</f>
        <v>50</v>
      </c>
      <c r="F51" s="19">
        <v>150</v>
      </c>
      <c r="G51" s="20">
        <f t="shared" si="8"/>
        <v>7500</v>
      </c>
      <c r="H51" s="19">
        <v>250</v>
      </c>
      <c r="I51" s="20">
        <f t="shared" si="9"/>
        <v>12500</v>
      </c>
      <c r="J51" s="19">
        <v>400</v>
      </c>
      <c r="K51" s="20">
        <f t="shared" si="10"/>
        <v>20000</v>
      </c>
      <c r="L51" s="17"/>
      <c r="M51" s="18" t="s">
        <v>57</v>
      </c>
      <c r="N51" s="20">
        <f t="shared" si="11"/>
        <v>12500</v>
      </c>
    </row>
    <row r="52" spans="1:14" ht="32" x14ac:dyDescent="0.2">
      <c r="A52" s="17">
        <v>41</v>
      </c>
      <c r="B52" s="17" t="s">
        <v>133</v>
      </c>
      <c r="C52" s="17" t="s">
        <v>139</v>
      </c>
      <c r="D52" s="17" t="s">
        <v>66</v>
      </c>
      <c r="E52" s="18">
        <v>1</v>
      </c>
      <c r="F52" s="19">
        <v>6000</v>
      </c>
      <c r="G52" s="20">
        <f t="shared" si="8"/>
        <v>6000</v>
      </c>
      <c r="H52" s="19">
        <v>12000</v>
      </c>
      <c r="I52" s="20">
        <f t="shared" si="9"/>
        <v>12000</v>
      </c>
      <c r="J52" s="19">
        <v>25000</v>
      </c>
      <c r="K52" s="20">
        <f t="shared" si="10"/>
        <v>25000</v>
      </c>
      <c r="L52" s="17" t="s">
        <v>140</v>
      </c>
      <c r="M52" s="18" t="s">
        <v>57</v>
      </c>
      <c r="N52" s="20">
        <f t="shared" si="11"/>
        <v>12000</v>
      </c>
    </row>
    <row r="53" spans="1:14" ht="32" x14ac:dyDescent="0.2">
      <c r="A53" s="17">
        <v>42</v>
      </c>
      <c r="B53" s="17" t="s">
        <v>133</v>
      </c>
      <c r="C53" s="17" t="s">
        <v>141</v>
      </c>
      <c r="D53" s="17" t="s">
        <v>66</v>
      </c>
      <c r="E53" s="18">
        <v>1</v>
      </c>
      <c r="F53" s="19">
        <v>0</v>
      </c>
      <c r="G53" s="20">
        <f t="shared" si="8"/>
        <v>0</v>
      </c>
      <c r="H53" s="19">
        <v>8000</v>
      </c>
      <c r="I53" s="20">
        <f t="shared" si="9"/>
        <v>8000</v>
      </c>
      <c r="J53" s="19">
        <v>15000</v>
      </c>
      <c r="K53" s="20">
        <f t="shared" si="10"/>
        <v>15000</v>
      </c>
      <c r="L53" s="17"/>
      <c r="M53" s="18" t="s">
        <v>57</v>
      </c>
      <c r="N53" s="20">
        <f t="shared" si="11"/>
        <v>8000</v>
      </c>
    </row>
    <row r="54" spans="1:14" ht="32" x14ac:dyDescent="0.2">
      <c r="A54" s="17">
        <v>43</v>
      </c>
      <c r="B54" s="17" t="s">
        <v>133</v>
      </c>
      <c r="C54" s="17" t="s">
        <v>142</v>
      </c>
      <c r="D54" s="17" t="s">
        <v>66</v>
      </c>
      <c r="E54" s="18">
        <v>1</v>
      </c>
      <c r="F54" s="19">
        <v>0</v>
      </c>
      <c r="G54" s="20">
        <f t="shared" si="8"/>
        <v>0</v>
      </c>
      <c r="H54" s="19">
        <v>0</v>
      </c>
      <c r="I54" s="20">
        <f t="shared" si="9"/>
        <v>0</v>
      </c>
      <c r="J54" s="19">
        <v>0</v>
      </c>
      <c r="K54" s="20">
        <f t="shared" si="10"/>
        <v>0</v>
      </c>
      <c r="L54" s="17" t="s">
        <v>143</v>
      </c>
      <c r="M54" s="18" t="s">
        <v>57</v>
      </c>
      <c r="N54" s="20">
        <f t="shared" si="11"/>
        <v>0</v>
      </c>
    </row>
    <row r="55" spans="1:14" ht="16" x14ac:dyDescent="0.2">
      <c r="A55" s="17">
        <v>44</v>
      </c>
      <c r="B55" s="17" t="s">
        <v>133</v>
      </c>
      <c r="C55" s="17" t="s">
        <v>144</v>
      </c>
      <c r="D55" s="17" t="s">
        <v>76</v>
      </c>
      <c r="E55" s="18">
        <v>1</v>
      </c>
      <c r="F55" s="19">
        <v>2500</v>
      </c>
      <c r="G55" s="20">
        <f t="shared" si="8"/>
        <v>2500</v>
      </c>
      <c r="H55" s="19">
        <v>4000</v>
      </c>
      <c r="I55" s="20">
        <f t="shared" si="9"/>
        <v>4000</v>
      </c>
      <c r="J55" s="19">
        <v>9000</v>
      </c>
      <c r="K55" s="20">
        <f t="shared" si="10"/>
        <v>9000</v>
      </c>
      <c r="L55" s="17" t="s">
        <v>145</v>
      </c>
      <c r="M55" s="18" t="s">
        <v>57</v>
      </c>
      <c r="N55" s="20">
        <f t="shared" si="11"/>
        <v>4000</v>
      </c>
    </row>
    <row r="56" spans="1:14" ht="16" x14ac:dyDescent="0.2">
      <c r="A56" s="17">
        <v>45</v>
      </c>
      <c r="B56" s="17" t="s">
        <v>133</v>
      </c>
      <c r="C56" s="17" t="s">
        <v>146</v>
      </c>
      <c r="D56" s="17" t="s">
        <v>76</v>
      </c>
      <c r="E56" s="32">
        <f>Параметры!$B$14</f>
        <v>2</v>
      </c>
      <c r="F56" s="19">
        <v>2500</v>
      </c>
      <c r="G56" s="20">
        <f t="shared" si="8"/>
        <v>5000</v>
      </c>
      <c r="H56" s="19">
        <v>4000</v>
      </c>
      <c r="I56" s="20">
        <f t="shared" si="9"/>
        <v>8000</v>
      </c>
      <c r="J56" s="19">
        <v>6000</v>
      </c>
      <c r="K56" s="20">
        <f t="shared" si="10"/>
        <v>12000</v>
      </c>
      <c r="L56" s="17"/>
      <c r="M56" s="18" t="s">
        <v>57</v>
      </c>
      <c r="N56" s="20">
        <f t="shared" si="11"/>
        <v>8000</v>
      </c>
    </row>
    <row r="57" spans="1:14" ht="32" x14ac:dyDescent="0.2">
      <c r="A57" s="17">
        <v>46</v>
      </c>
      <c r="B57" s="17" t="s">
        <v>133</v>
      </c>
      <c r="C57" s="17" t="s">
        <v>147</v>
      </c>
      <c r="D57" s="17" t="s">
        <v>66</v>
      </c>
      <c r="E57" s="18">
        <v>1</v>
      </c>
      <c r="F57" s="19">
        <v>2000</v>
      </c>
      <c r="G57" s="20">
        <f t="shared" si="8"/>
        <v>2000</v>
      </c>
      <c r="H57" s="19">
        <v>3500</v>
      </c>
      <c r="I57" s="20">
        <f t="shared" si="9"/>
        <v>3500</v>
      </c>
      <c r="J57" s="19">
        <v>8000</v>
      </c>
      <c r="K57" s="20">
        <f t="shared" si="10"/>
        <v>8000</v>
      </c>
      <c r="L57" s="17"/>
      <c r="M57" s="18" t="s">
        <v>57</v>
      </c>
      <c r="N57" s="20">
        <f t="shared" si="11"/>
        <v>3500</v>
      </c>
    </row>
    <row r="58" spans="1:14" ht="16" x14ac:dyDescent="0.2">
      <c r="A58" s="17">
        <v>47</v>
      </c>
      <c r="B58" s="17" t="s">
        <v>133</v>
      </c>
      <c r="C58" s="17" t="s">
        <v>148</v>
      </c>
      <c r="D58" s="17" t="s">
        <v>76</v>
      </c>
      <c r="E58" s="18">
        <v>1</v>
      </c>
      <c r="F58" s="19">
        <v>1500</v>
      </c>
      <c r="G58" s="20">
        <f t="shared" si="8"/>
        <v>1500</v>
      </c>
      <c r="H58" s="19">
        <v>3000</v>
      </c>
      <c r="I58" s="20">
        <f t="shared" si="9"/>
        <v>3000</v>
      </c>
      <c r="J58" s="19">
        <v>4000</v>
      </c>
      <c r="K58" s="20">
        <f t="shared" si="10"/>
        <v>4000</v>
      </c>
      <c r="L58" s="17"/>
      <c r="M58" s="18" t="s">
        <v>57</v>
      </c>
      <c r="N58" s="20">
        <f t="shared" si="11"/>
        <v>3000</v>
      </c>
    </row>
    <row r="59" spans="1:14" ht="16" x14ac:dyDescent="0.2">
      <c r="A59" s="17">
        <v>48</v>
      </c>
      <c r="B59" s="17" t="s">
        <v>133</v>
      </c>
      <c r="C59" s="17" t="s">
        <v>149</v>
      </c>
      <c r="D59" s="17" t="s">
        <v>76</v>
      </c>
      <c r="E59" s="18">
        <v>1</v>
      </c>
      <c r="F59" s="19">
        <v>1500</v>
      </c>
      <c r="G59" s="20">
        <f t="shared" si="8"/>
        <v>1500</v>
      </c>
      <c r="H59" s="19">
        <v>2500</v>
      </c>
      <c r="I59" s="20">
        <f t="shared" si="9"/>
        <v>2500</v>
      </c>
      <c r="J59" s="19">
        <v>4000</v>
      </c>
      <c r="K59" s="20">
        <f t="shared" si="10"/>
        <v>4000</v>
      </c>
      <c r="L59" s="17"/>
      <c r="M59" s="18" t="s">
        <v>57</v>
      </c>
      <c r="N59" s="20">
        <f t="shared" si="11"/>
        <v>2500</v>
      </c>
    </row>
    <row r="60" spans="1:14" ht="16" x14ac:dyDescent="0.2">
      <c r="A60" s="17">
        <v>49</v>
      </c>
      <c r="B60" s="17" t="s">
        <v>133</v>
      </c>
      <c r="C60" s="17" t="s">
        <v>150</v>
      </c>
      <c r="D60" s="17" t="s">
        <v>76</v>
      </c>
      <c r="E60" s="18">
        <v>1</v>
      </c>
      <c r="F60" s="19">
        <v>3000</v>
      </c>
      <c r="G60" s="20">
        <f t="shared" si="8"/>
        <v>3000</v>
      </c>
      <c r="H60" s="19">
        <v>8000</v>
      </c>
      <c r="I60" s="20">
        <f t="shared" si="9"/>
        <v>8000</v>
      </c>
      <c r="J60" s="19">
        <v>12000</v>
      </c>
      <c r="K60" s="20">
        <f t="shared" si="10"/>
        <v>12000</v>
      </c>
      <c r="L60" s="17" t="s">
        <v>151</v>
      </c>
      <c r="M60" s="18" t="s">
        <v>57</v>
      </c>
      <c r="N60" s="20">
        <f t="shared" si="11"/>
        <v>8000</v>
      </c>
    </row>
    <row r="61" spans="1:14" ht="32" x14ac:dyDescent="0.2">
      <c r="A61" s="17">
        <v>50</v>
      </c>
      <c r="B61" s="17" t="s">
        <v>133</v>
      </c>
      <c r="C61" s="17" t="s">
        <v>152</v>
      </c>
      <c r="D61" s="17" t="s">
        <v>66</v>
      </c>
      <c r="E61" s="18">
        <v>1</v>
      </c>
      <c r="F61" s="19">
        <v>2000</v>
      </c>
      <c r="G61" s="20">
        <f t="shared" si="8"/>
        <v>2000</v>
      </c>
      <c r="H61" s="19">
        <v>4000</v>
      </c>
      <c r="I61" s="20">
        <f t="shared" si="9"/>
        <v>4000</v>
      </c>
      <c r="J61" s="19">
        <v>6000</v>
      </c>
      <c r="K61" s="20">
        <f t="shared" si="10"/>
        <v>6000</v>
      </c>
      <c r="L61" s="17"/>
      <c r="M61" s="18" t="s">
        <v>57</v>
      </c>
      <c r="N61" s="20">
        <f t="shared" si="11"/>
        <v>4000</v>
      </c>
    </row>
    <row r="62" spans="1:14" ht="16" x14ac:dyDescent="0.2">
      <c r="A62" s="17">
        <v>51</v>
      </c>
      <c r="B62" s="17" t="s">
        <v>133</v>
      </c>
      <c r="C62" s="17" t="s">
        <v>153</v>
      </c>
      <c r="D62" s="17" t="s">
        <v>76</v>
      </c>
      <c r="E62" s="32">
        <f>Параметры!$B$9+Параметры!$B$10</f>
        <v>38</v>
      </c>
      <c r="F62" s="19">
        <v>250</v>
      </c>
      <c r="G62" s="20">
        <f t="shared" si="8"/>
        <v>9500</v>
      </c>
      <c r="H62" s="19">
        <v>400</v>
      </c>
      <c r="I62" s="20">
        <f t="shared" si="9"/>
        <v>15200</v>
      </c>
      <c r="J62" s="19">
        <v>600</v>
      </c>
      <c r="K62" s="20">
        <f t="shared" si="10"/>
        <v>22800</v>
      </c>
      <c r="L62" s="17"/>
      <c r="M62" s="18" t="s">
        <v>57</v>
      </c>
      <c r="N62" s="20">
        <f t="shared" si="11"/>
        <v>15200</v>
      </c>
    </row>
    <row r="63" spans="1:14" ht="32" x14ac:dyDescent="0.2">
      <c r="A63" s="17">
        <v>52</v>
      </c>
      <c r="B63" s="17" t="s">
        <v>133</v>
      </c>
      <c r="C63" s="17" t="s">
        <v>154</v>
      </c>
      <c r="D63" s="17" t="s">
        <v>66</v>
      </c>
      <c r="E63" s="18">
        <v>1</v>
      </c>
      <c r="F63" s="19">
        <v>6000</v>
      </c>
      <c r="G63" s="20">
        <f t="shared" si="8"/>
        <v>6000</v>
      </c>
      <c r="H63" s="19">
        <v>15000</v>
      </c>
      <c r="I63" s="20">
        <f t="shared" si="9"/>
        <v>15000</v>
      </c>
      <c r="J63" s="19">
        <v>25000</v>
      </c>
      <c r="K63" s="20">
        <f t="shared" si="10"/>
        <v>25000</v>
      </c>
      <c r="L63" s="17"/>
      <c r="M63" s="18" t="s">
        <v>57</v>
      </c>
      <c r="N63" s="20">
        <f t="shared" si="11"/>
        <v>15000</v>
      </c>
    </row>
    <row r="64" spans="1:14" ht="32" x14ac:dyDescent="0.2">
      <c r="A64" s="17">
        <v>53</v>
      </c>
      <c r="B64" s="17" t="s">
        <v>133</v>
      </c>
      <c r="C64" s="17" t="s">
        <v>155</v>
      </c>
      <c r="D64" s="17" t="s">
        <v>66</v>
      </c>
      <c r="E64" s="18">
        <v>1</v>
      </c>
      <c r="F64" s="19">
        <v>2500</v>
      </c>
      <c r="G64" s="20">
        <f t="shared" si="8"/>
        <v>2500</v>
      </c>
      <c r="H64" s="19">
        <v>3500</v>
      </c>
      <c r="I64" s="20">
        <f t="shared" si="9"/>
        <v>3500</v>
      </c>
      <c r="J64" s="19">
        <v>5000</v>
      </c>
      <c r="K64" s="20">
        <f t="shared" si="10"/>
        <v>5000</v>
      </c>
      <c r="L64" s="17"/>
      <c r="M64" s="18" t="s">
        <v>57</v>
      </c>
      <c r="N64" s="20">
        <f t="shared" si="11"/>
        <v>3500</v>
      </c>
    </row>
    <row r="65" spans="1:14" ht="32" x14ac:dyDescent="0.2">
      <c r="A65" s="17">
        <v>54</v>
      </c>
      <c r="B65" s="17" t="s">
        <v>133</v>
      </c>
      <c r="C65" s="17" t="s">
        <v>156</v>
      </c>
      <c r="D65" s="17" t="s">
        <v>66</v>
      </c>
      <c r="E65" s="18">
        <v>1</v>
      </c>
      <c r="F65" s="19">
        <v>2000</v>
      </c>
      <c r="G65" s="20">
        <f t="shared" si="8"/>
        <v>2000</v>
      </c>
      <c r="H65" s="19">
        <v>4000</v>
      </c>
      <c r="I65" s="20">
        <f t="shared" si="9"/>
        <v>4000</v>
      </c>
      <c r="J65" s="19">
        <v>6000</v>
      </c>
      <c r="K65" s="20">
        <f t="shared" si="10"/>
        <v>6000</v>
      </c>
      <c r="L65" s="17"/>
      <c r="M65" s="18" t="s">
        <v>57</v>
      </c>
      <c r="N65" s="20">
        <f t="shared" si="11"/>
        <v>4000</v>
      </c>
    </row>
    <row r="66" spans="1:14" ht="16" x14ac:dyDescent="0.2">
      <c r="A66" s="17">
        <v>55</v>
      </c>
      <c r="B66" s="17" t="s">
        <v>133</v>
      </c>
      <c r="C66" s="17" t="s">
        <v>157</v>
      </c>
      <c r="D66" s="17" t="s">
        <v>55</v>
      </c>
      <c r="E66" s="32">
        <f>Параметры!$B$15</f>
        <v>120</v>
      </c>
      <c r="F66" s="19">
        <v>250</v>
      </c>
      <c r="G66" s="20">
        <f t="shared" si="8"/>
        <v>30000</v>
      </c>
      <c r="H66" s="19">
        <v>350</v>
      </c>
      <c r="I66" s="20">
        <f t="shared" si="9"/>
        <v>42000</v>
      </c>
      <c r="J66" s="19">
        <v>600</v>
      </c>
      <c r="K66" s="20">
        <f t="shared" si="10"/>
        <v>72000</v>
      </c>
      <c r="L66" s="17" t="s">
        <v>158</v>
      </c>
      <c r="M66" s="18" t="s">
        <v>57</v>
      </c>
      <c r="N66" s="20">
        <f t="shared" si="11"/>
        <v>42000</v>
      </c>
    </row>
    <row r="67" spans="1:14" ht="32" x14ac:dyDescent="0.2">
      <c r="A67" s="17">
        <v>56</v>
      </c>
      <c r="B67" s="17" t="s">
        <v>133</v>
      </c>
      <c r="C67" s="17" t="s">
        <v>159</v>
      </c>
      <c r="D67" s="17" t="s">
        <v>66</v>
      </c>
      <c r="E67" s="18">
        <v>1</v>
      </c>
      <c r="F67" s="19">
        <v>0</v>
      </c>
      <c r="G67" s="20">
        <f t="shared" si="8"/>
        <v>0</v>
      </c>
      <c r="H67" s="19">
        <v>8000</v>
      </c>
      <c r="I67" s="20">
        <f t="shared" si="9"/>
        <v>8000</v>
      </c>
      <c r="J67" s="19">
        <v>30000</v>
      </c>
      <c r="K67" s="20">
        <f t="shared" si="10"/>
        <v>30000</v>
      </c>
      <c r="L67" s="17"/>
      <c r="M67" s="18" t="s">
        <v>57</v>
      </c>
      <c r="N67" s="20">
        <f t="shared" si="11"/>
        <v>8000</v>
      </c>
    </row>
    <row r="68" spans="1:14" ht="16" x14ac:dyDescent="0.2">
      <c r="A68" s="17">
        <v>57</v>
      </c>
      <c r="B68" s="17" t="s">
        <v>133</v>
      </c>
      <c r="C68" s="17" t="s">
        <v>160</v>
      </c>
      <c r="D68" s="17" t="s">
        <v>76</v>
      </c>
      <c r="E68" s="32">
        <f>Параметры!$B$16</f>
        <v>3</v>
      </c>
      <c r="F68" s="19">
        <v>4000</v>
      </c>
      <c r="G68" s="20">
        <f t="shared" si="8"/>
        <v>12000</v>
      </c>
      <c r="H68" s="19">
        <v>6000</v>
      </c>
      <c r="I68" s="20">
        <f t="shared" si="9"/>
        <v>18000</v>
      </c>
      <c r="J68" s="19">
        <v>10000</v>
      </c>
      <c r="K68" s="20">
        <f t="shared" si="10"/>
        <v>30000</v>
      </c>
      <c r="L68" s="17"/>
      <c r="M68" s="18" t="s">
        <v>57</v>
      </c>
      <c r="N68" s="20">
        <f t="shared" si="11"/>
        <v>18000</v>
      </c>
    </row>
    <row r="69" spans="1:14" ht="16" x14ac:dyDescent="0.2">
      <c r="A69" s="17">
        <v>58</v>
      </c>
      <c r="B69" s="17" t="s">
        <v>133</v>
      </c>
      <c r="C69" s="17" t="s">
        <v>161</v>
      </c>
      <c r="D69" s="17" t="s">
        <v>76</v>
      </c>
      <c r="E69" s="32">
        <f>Параметры!$B$17</f>
        <v>1</v>
      </c>
      <c r="F69" s="19">
        <v>7000</v>
      </c>
      <c r="G69" s="20">
        <f t="shared" si="8"/>
        <v>7000</v>
      </c>
      <c r="H69" s="19">
        <v>10000</v>
      </c>
      <c r="I69" s="20">
        <f t="shared" si="9"/>
        <v>10000</v>
      </c>
      <c r="J69" s="19">
        <v>20000</v>
      </c>
      <c r="K69" s="20">
        <f t="shared" si="10"/>
        <v>20000</v>
      </c>
      <c r="L69" s="17"/>
      <c r="M69" s="18" t="s">
        <v>57</v>
      </c>
      <c r="N69" s="20">
        <f t="shared" si="11"/>
        <v>10000</v>
      </c>
    </row>
    <row r="70" spans="1:14" ht="32" x14ac:dyDescent="0.2">
      <c r="A70" s="17">
        <v>59</v>
      </c>
      <c r="B70" s="17" t="s">
        <v>133</v>
      </c>
      <c r="C70" s="17" t="s">
        <v>162</v>
      </c>
      <c r="D70" s="17" t="s">
        <v>66</v>
      </c>
      <c r="E70" s="18">
        <v>1</v>
      </c>
      <c r="F70" s="19">
        <v>0</v>
      </c>
      <c r="G70" s="20">
        <f t="shared" si="8"/>
        <v>0</v>
      </c>
      <c r="H70" s="19">
        <v>8000</v>
      </c>
      <c r="I70" s="20">
        <f t="shared" si="9"/>
        <v>8000</v>
      </c>
      <c r="J70" s="19">
        <v>15000</v>
      </c>
      <c r="K70" s="20">
        <f t="shared" si="10"/>
        <v>15000</v>
      </c>
      <c r="L70" s="17"/>
      <c r="M70" s="18" t="s">
        <v>57</v>
      </c>
      <c r="N70" s="20">
        <f t="shared" si="11"/>
        <v>8000</v>
      </c>
    </row>
    <row r="71" spans="1:14" ht="32" x14ac:dyDescent="0.2">
      <c r="A71" s="17">
        <v>60</v>
      </c>
      <c r="B71" s="17" t="s">
        <v>133</v>
      </c>
      <c r="C71" s="17" t="s">
        <v>163</v>
      </c>
      <c r="D71" s="17" t="s">
        <v>66</v>
      </c>
      <c r="E71" s="18">
        <v>1</v>
      </c>
      <c r="F71" s="19">
        <v>8000</v>
      </c>
      <c r="G71" s="20">
        <f t="shared" si="8"/>
        <v>8000</v>
      </c>
      <c r="H71" s="19">
        <v>15000</v>
      </c>
      <c r="I71" s="20">
        <f t="shared" si="9"/>
        <v>15000</v>
      </c>
      <c r="J71" s="19">
        <v>25000</v>
      </c>
      <c r="K71" s="20">
        <f t="shared" si="10"/>
        <v>25000</v>
      </c>
      <c r="L71" s="17"/>
      <c r="M71" s="18" t="s">
        <v>57</v>
      </c>
      <c r="N71" s="20">
        <f t="shared" si="11"/>
        <v>15000</v>
      </c>
    </row>
    <row r="73" spans="1:14" x14ac:dyDescent="0.2">
      <c r="A73" s="16"/>
      <c r="B73" s="16"/>
      <c r="C73" s="15" t="s">
        <v>164</v>
      </c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</row>
    <row r="74" spans="1:14" x14ac:dyDescent="0.2">
      <c r="C74" s="22" t="s">
        <v>52</v>
      </c>
      <c r="G74" s="23">
        <f>SUM(G6:G10)</f>
        <v>45350</v>
      </c>
      <c r="I74" s="23">
        <f>SUM(I6:I10)</f>
        <v>83050</v>
      </c>
      <c r="K74" s="23">
        <f>SUM(K6:K10)</f>
        <v>167050</v>
      </c>
      <c r="N74" s="23">
        <f>SUM(N6:N10)</f>
        <v>83050</v>
      </c>
    </row>
    <row r="75" spans="1:14" x14ac:dyDescent="0.2">
      <c r="C75" s="22" t="s">
        <v>68</v>
      </c>
      <c r="G75" s="23">
        <f>SUM(G12:G16)</f>
        <v>31960</v>
      </c>
      <c r="I75" s="23">
        <f>SUM(I12:I16)</f>
        <v>79180</v>
      </c>
      <c r="K75" s="23">
        <f>SUM(K12:K16)</f>
        <v>164320</v>
      </c>
      <c r="N75" s="23">
        <f>SUM(N12:N16)</f>
        <v>79180</v>
      </c>
    </row>
    <row r="76" spans="1:14" x14ac:dyDescent="0.2">
      <c r="C76" s="22" t="s">
        <v>80</v>
      </c>
      <c r="G76" s="23">
        <f>SUM(G18:G31)</f>
        <v>58000</v>
      </c>
      <c r="I76" s="23">
        <f>SUM(I18:I31)</f>
        <v>187000</v>
      </c>
      <c r="K76" s="23">
        <f>SUM(K18:K31)</f>
        <v>445000</v>
      </c>
      <c r="N76" s="23">
        <f>SUM(N18:N31)</f>
        <v>187000</v>
      </c>
    </row>
    <row r="77" spans="1:14" x14ac:dyDescent="0.2">
      <c r="C77" s="22" t="s">
        <v>104</v>
      </c>
      <c r="G77" s="23">
        <f>SUM(G33:G39)</f>
        <v>25880</v>
      </c>
      <c r="I77" s="23">
        <f>SUM(I33:I39)</f>
        <v>78230</v>
      </c>
      <c r="K77" s="23">
        <f>SUM(K33:K39)</f>
        <v>184280</v>
      </c>
      <c r="N77" s="23">
        <f>SUM(N33:N39)</f>
        <v>78230</v>
      </c>
    </row>
    <row r="78" spans="1:14" x14ac:dyDescent="0.2">
      <c r="C78" s="22" t="s">
        <v>117</v>
      </c>
      <c r="G78" s="23">
        <f>SUM(G41:G43)</f>
        <v>28000</v>
      </c>
      <c r="I78" s="23">
        <f>SUM(I41:I43)</f>
        <v>76000</v>
      </c>
      <c r="K78" s="23">
        <f>SUM(K41:K43)</f>
        <v>216000</v>
      </c>
      <c r="N78" s="23">
        <f>SUM(N41:N43)</f>
        <v>76000</v>
      </c>
    </row>
    <row r="79" spans="1:14" x14ac:dyDescent="0.2">
      <c r="C79" s="22" t="s">
        <v>124</v>
      </c>
      <c r="G79" s="23">
        <f>SUM(G45:G47)</f>
        <v>43000</v>
      </c>
      <c r="I79" s="23">
        <f>SUM(I45:I47)</f>
        <v>95000</v>
      </c>
      <c r="K79" s="23">
        <f>SUM(K45:K47)</f>
        <v>237000</v>
      </c>
      <c r="N79" s="23">
        <f>SUM(N45:N47)</f>
        <v>95000</v>
      </c>
    </row>
    <row r="80" spans="1:14" x14ac:dyDescent="0.2">
      <c r="C80" s="22" t="s">
        <v>132</v>
      </c>
      <c r="G80" s="23">
        <f>SUM(G49:G71)</f>
        <v>125600</v>
      </c>
      <c r="I80" s="23">
        <f>SUM(I49:I71)</f>
        <v>235100</v>
      </c>
      <c r="K80" s="23">
        <f>SUM(K49:K71)</f>
        <v>420200</v>
      </c>
      <c r="N80" s="23">
        <f>SUM(N49:N71)</f>
        <v>235100</v>
      </c>
    </row>
    <row r="81" spans="1:14" x14ac:dyDescent="0.2">
      <c r="C81" s="22" t="s">
        <v>165</v>
      </c>
      <c r="G81" s="23">
        <f>SUM(G74:G79)</f>
        <v>232190</v>
      </c>
      <c r="I81" s="23">
        <f>SUM(I74:I79)</f>
        <v>598460</v>
      </c>
      <c r="K81" s="23">
        <f>SUM(K74:K79)</f>
        <v>1413650</v>
      </c>
      <c r="N81" s="23">
        <f>SUM(N74:N79)</f>
        <v>598460</v>
      </c>
    </row>
    <row r="82" spans="1:14" x14ac:dyDescent="0.2">
      <c r="C82" s="22" t="s">
        <v>166</v>
      </c>
      <c r="G82" s="23">
        <f>G80</f>
        <v>125600</v>
      </c>
      <c r="I82" s="23">
        <f>I80</f>
        <v>235100</v>
      </c>
      <c r="K82" s="23">
        <f>K80</f>
        <v>420200</v>
      </c>
      <c r="N82" s="23">
        <f>N80</f>
        <v>235100</v>
      </c>
    </row>
    <row r="83" spans="1:14" x14ac:dyDescent="0.2">
      <c r="A83" s="24"/>
      <c r="B83" s="24"/>
      <c r="C83" s="25" t="s">
        <v>167</v>
      </c>
      <c r="D83" s="24"/>
      <c r="E83" s="24"/>
      <c r="F83" s="24"/>
      <c r="G83" s="26">
        <f>SUM(G74:G80)</f>
        <v>357790</v>
      </c>
      <c r="H83" s="24"/>
      <c r="I83" s="26">
        <f>SUM(I74:I80)</f>
        <v>833560</v>
      </c>
      <c r="J83" s="24"/>
      <c r="K83" s="26">
        <f>SUM(K74:K80)</f>
        <v>1833850</v>
      </c>
      <c r="L83" s="24"/>
      <c r="M83" s="24"/>
      <c r="N83" s="26">
        <f>SUM(N74:N80)</f>
        <v>833560</v>
      </c>
    </row>
    <row r="84" spans="1:14" x14ac:dyDescent="0.2">
      <c r="C84" s="22" t="s">
        <v>168</v>
      </c>
      <c r="E84" s="27">
        <f>Параметры!$B$18</f>
        <v>0.1</v>
      </c>
      <c r="G84" s="28">
        <f>G83*$E$84</f>
        <v>35779</v>
      </c>
      <c r="I84" s="28">
        <f>I83*$E$84</f>
        <v>83356</v>
      </c>
      <c r="K84" s="28">
        <f>K83*$E$84</f>
        <v>183385</v>
      </c>
      <c r="N84" s="28">
        <f>N83*$E$84</f>
        <v>83356</v>
      </c>
    </row>
    <row r="85" spans="1:14" ht="16" x14ac:dyDescent="0.2">
      <c r="A85" s="24"/>
      <c r="B85" s="24"/>
      <c r="C85" s="29" t="s">
        <v>169</v>
      </c>
      <c r="D85" s="24"/>
      <c r="E85" s="24"/>
      <c r="F85" s="24"/>
      <c r="G85" s="30">
        <f>G83+G84</f>
        <v>393569</v>
      </c>
      <c r="H85" s="24"/>
      <c r="I85" s="30">
        <f>I83+I84</f>
        <v>916916</v>
      </c>
      <c r="J85" s="24"/>
      <c r="K85" s="30">
        <f>K83+K84</f>
        <v>2017235</v>
      </c>
      <c r="L85" s="24"/>
      <c r="M85" s="24"/>
      <c r="N85" s="30">
        <f>N83+N84</f>
        <v>916916</v>
      </c>
    </row>
    <row r="86" spans="1:14" x14ac:dyDescent="0.2">
      <c r="C86" s="33" t="s">
        <v>170</v>
      </c>
      <c r="G86" s="28">
        <f>IF(Параметры!$B$4=0,0,G85/Параметры!$B$4)</f>
        <v>7142.8130671506351</v>
      </c>
      <c r="I86" s="28">
        <f>IF(Параметры!$B$4=0,0,I85/Параметры!$B$4)</f>
        <v>16640.943738656988</v>
      </c>
      <c r="K86" s="28">
        <f>IF(Параметры!$B$4=0,0,K85/Параметры!$B$4)</f>
        <v>36610.435571687842</v>
      </c>
      <c r="N86" s="28">
        <f>IF(Параметры!$B$4=0,0,N85/Параметры!$B$4)</f>
        <v>16640.943738656988</v>
      </c>
    </row>
    <row r="88" spans="1:14" ht="30" customHeight="1" x14ac:dyDescent="0.2">
      <c r="C88" s="31" t="s">
        <v>171</v>
      </c>
      <c r="D88" s="31"/>
      <c r="E88" s="31"/>
      <c r="F88" s="31"/>
      <c r="G88" s="31"/>
      <c r="H88" s="31"/>
      <c r="I88" s="31"/>
      <c r="J88" s="31"/>
      <c r="K88" s="31"/>
      <c r="L88" s="31"/>
    </row>
  </sheetData>
  <mergeCells count="1">
    <mergeCell ref="C88:L88"/>
  </mergeCells>
  <dataValidations count="1">
    <dataValidation type="list" sqref="M5:M71" xr:uid="{00000000-0002-0000-0100-000000000000}">
      <formula1>"МИН,СРЕД,МАКС"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75"/>
  <sheetViews>
    <sheetView zoomScaleNormal="100" workbookViewId="0">
      <pane xSplit="3" ySplit="4" topLeftCell="D56" activePane="bottomRight" state="frozen"/>
      <selection pane="topRight" activeCell="D1" sqref="D1"/>
      <selection pane="bottomLeft" activeCell="A5" sqref="A5"/>
      <selection pane="bottomRight" activeCell="H68" sqref="H68"/>
    </sheetView>
  </sheetViews>
  <sheetFormatPr baseColWidth="10" defaultColWidth="8.6640625" defaultRowHeight="15" x14ac:dyDescent="0.2"/>
  <cols>
    <col min="1" max="1" width="4" style="12" customWidth="1"/>
    <col min="2" max="2" width="14" style="12" customWidth="1"/>
    <col min="3" max="3" width="46" style="12" customWidth="1"/>
    <col min="4" max="4" width="6" style="12" customWidth="1"/>
    <col min="5" max="5" width="8" style="12" customWidth="1"/>
    <col min="6" max="6" width="11" style="12" customWidth="1"/>
    <col min="7" max="7" width="12" style="12" customWidth="1"/>
    <col min="8" max="8" width="11" style="12" customWidth="1"/>
    <col min="9" max="9" width="12" style="12" customWidth="1"/>
    <col min="10" max="10" width="11" style="12" customWidth="1"/>
    <col min="11" max="11" width="12" style="12" customWidth="1"/>
    <col min="12" max="12" width="60" style="12" customWidth="1"/>
    <col min="13" max="13" width="34" style="12" customWidth="1"/>
    <col min="14" max="14" width="10" style="12" customWidth="1"/>
    <col min="15" max="15" width="12" style="12" customWidth="1"/>
    <col min="16" max="16384" width="8.6640625" style="12"/>
  </cols>
  <sheetData>
    <row r="1" spans="1:15" ht="17" x14ac:dyDescent="0.2">
      <c r="A1" s="11" t="s">
        <v>172</v>
      </c>
    </row>
    <row r="2" spans="1:15" x14ac:dyDescent="0.2">
      <c r="A2" s="12" t="s">
        <v>173</v>
      </c>
    </row>
    <row r="4" spans="1:15" ht="28" x14ac:dyDescent="0.2">
      <c r="A4" s="13" t="s">
        <v>38</v>
      </c>
      <c r="B4" s="13" t="s">
        <v>39</v>
      </c>
      <c r="C4" s="13" t="s">
        <v>40</v>
      </c>
      <c r="D4" s="13" t="s">
        <v>41</v>
      </c>
      <c r="E4" s="13" t="s">
        <v>42</v>
      </c>
      <c r="F4" s="13" t="s">
        <v>43</v>
      </c>
      <c r="G4" s="14" t="s">
        <v>44</v>
      </c>
      <c r="H4" s="13" t="s">
        <v>45</v>
      </c>
      <c r="I4" s="14" t="s">
        <v>46</v>
      </c>
      <c r="J4" s="13" t="s">
        <v>47</v>
      </c>
      <c r="K4" s="14" t="s">
        <v>48</v>
      </c>
      <c r="L4" s="13" t="s">
        <v>49</v>
      </c>
      <c r="M4" s="13" t="s">
        <v>174</v>
      </c>
      <c r="N4" s="13" t="s">
        <v>50</v>
      </c>
      <c r="O4" s="13" t="s">
        <v>51</v>
      </c>
    </row>
    <row r="5" spans="1:15" x14ac:dyDescent="0.2">
      <c r="A5" s="15" t="s">
        <v>175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ht="48" x14ac:dyDescent="0.2">
      <c r="A6" s="17">
        <v>1</v>
      </c>
      <c r="B6" s="17" t="s">
        <v>176</v>
      </c>
      <c r="C6" s="17" t="s">
        <v>177</v>
      </c>
      <c r="D6" s="17" t="s">
        <v>66</v>
      </c>
      <c r="E6" s="18">
        <v>1</v>
      </c>
      <c r="F6" s="19">
        <v>70000</v>
      </c>
      <c r="G6" s="20">
        <f t="shared" ref="G6:G17" si="0">E6*F6</f>
        <v>70000</v>
      </c>
      <c r="H6" s="19">
        <v>150000</v>
      </c>
      <c r="I6" s="20">
        <f t="shared" ref="I6:I17" si="1">E6*H6</f>
        <v>150000</v>
      </c>
      <c r="J6" s="19">
        <v>450000</v>
      </c>
      <c r="K6" s="20">
        <f t="shared" ref="K6:K17" si="2">E6*J6</f>
        <v>450000</v>
      </c>
      <c r="L6" s="17" t="s">
        <v>178</v>
      </c>
      <c r="M6" s="21" t="s">
        <v>179</v>
      </c>
      <c r="N6" s="18" t="s">
        <v>180</v>
      </c>
      <c r="O6" s="20">
        <f t="shared" ref="O6:O17" si="3">IF(N6="МИН",G6,IF(N6="МАКС",K6,I6))</f>
        <v>70000</v>
      </c>
    </row>
    <row r="7" spans="1:15" ht="32" x14ac:dyDescent="0.2">
      <c r="A7" s="17">
        <v>2</v>
      </c>
      <c r="B7" s="17" t="s">
        <v>176</v>
      </c>
      <c r="C7" s="17" t="s">
        <v>181</v>
      </c>
      <c r="D7" s="17" t="s">
        <v>66</v>
      </c>
      <c r="E7" s="18">
        <v>1</v>
      </c>
      <c r="F7" s="19">
        <v>8000</v>
      </c>
      <c r="G7" s="20">
        <f t="shared" si="0"/>
        <v>8000</v>
      </c>
      <c r="H7" s="19">
        <v>20000</v>
      </c>
      <c r="I7" s="20">
        <f t="shared" si="1"/>
        <v>20000</v>
      </c>
      <c r="J7" s="19">
        <v>90000</v>
      </c>
      <c r="K7" s="20">
        <f t="shared" si="2"/>
        <v>90000</v>
      </c>
      <c r="L7" s="17" t="s">
        <v>182</v>
      </c>
      <c r="M7" s="21" t="s">
        <v>183</v>
      </c>
      <c r="N7" s="18" t="s">
        <v>180</v>
      </c>
      <c r="O7" s="20">
        <f t="shared" si="3"/>
        <v>8000</v>
      </c>
    </row>
    <row r="8" spans="1:15" ht="32" x14ac:dyDescent="0.2">
      <c r="A8" s="17">
        <v>3</v>
      </c>
      <c r="B8" s="17" t="s">
        <v>176</v>
      </c>
      <c r="C8" s="17" t="s">
        <v>184</v>
      </c>
      <c r="D8" s="17" t="s">
        <v>66</v>
      </c>
      <c r="E8" s="18">
        <v>1</v>
      </c>
      <c r="F8" s="19">
        <v>5000</v>
      </c>
      <c r="G8" s="20">
        <f t="shared" si="0"/>
        <v>5000</v>
      </c>
      <c r="H8" s="19">
        <v>15000</v>
      </c>
      <c r="I8" s="20">
        <f t="shared" si="1"/>
        <v>15000</v>
      </c>
      <c r="J8" s="19">
        <v>35000</v>
      </c>
      <c r="K8" s="20">
        <f t="shared" si="2"/>
        <v>35000</v>
      </c>
      <c r="L8" s="17" t="s">
        <v>185</v>
      </c>
      <c r="M8" s="21" t="s">
        <v>186</v>
      </c>
      <c r="N8" s="18" t="s">
        <v>57</v>
      </c>
      <c r="O8" s="20">
        <f t="shared" si="3"/>
        <v>15000</v>
      </c>
    </row>
    <row r="9" spans="1:15" ht="32" x14ac:dyDescent="0.2">
      <c r="A9" s="17">
        <v>4</v>
      </c>
      <c r="B9" s="17" t="s">
        <v>176</v>
      </c>
      <c r="C9" s="17" t="s">
        <v>187</v>
      </c>
      <c r="D9" s="17" t="s">
        <v>66</v>
      </c>
      <c r="E9" s="18">
        <v>1</v>
      </c>
      <c r="F9" s="19">
        <v>6000</v>
      </c>
      <c r="G9" s="20">
        <f t="shared" si="0"/>
        <v>6000</v>
      </c>
      <c r="H9" s="19">
        <v>18000</v>
      </c>
      <c r="I9" s="20">
        <f t="shared" si="1"/>
        <v>18000</v>
      </c>
      <c r="J9" s="19">
        <v>45000</v>
      </c>
      <c r="K9" s="20">
        <f t="shared" si="2"/>
        <v>45000</v>
      </c>
      <c r="L9" s="17" t="s">
        <v>188</v>
      </c>
      <c r="M9" s="21" t="s">
        <v>186</v>
      </c>
      <c r="N9" s="18" t="s">
        <v>57</v>
      </c>
      <c r="O9" s="20">
        <f t="shared" si="3"/>
        <v>18000</v>
      </c>
    </row>
    <row r="10" spans="1:15" ht="48" x14ac:dyDescent="0.2">
      <c r="A10" s="17">
        <v>5</v>
      </c>
      <c r="B10" s="17" t="s">
        <v>176</v>
      </c>
      <c r="C10" s="17" t="s">
        <v>189</v>
      </c>
      <c r="D10" s="17" t="s">
        <v>76</v>
      </c>
      <c r="E10" s="18">
        <v>1</v>
      </c>
      <c r="F10" s="19">
        <v>12000</v>
      </c>
      <c r="G10" s="20">
        <f t="shared" si="0"/>
        <v>12000</v>
      </c>
      <c r="H10" s="19">
        <v>30000</v>
      </c>
      <c r="I10" s="20">
        <f t="shared" si="1"/>
        <v>30000</v>
      </c>
      <c r="J10" s="19">
        <v>70000</v>
      </c>
      <c r="K10" s="20">
        <f t="shared" si="2"/>
        <v>70000</v>
      </c>
      <c r="L10" s="17" t="s">
        <v>190</v>
      </c>
      <c r="M10" s="21" t="s">
        <v>191</v>
      </c>
      <c r="N10" s="18" t="s">
        <v>57</v>
      </c>
      <c r="O10" s="20">
        <f t="shared" si="3"/>
        <v>30000</v>
      </c>
    </row>
    <row r="11" spans="1:15" ht="16" x14ac:dyDescent="0.2">
      <c r="A11" s="17">
        <v>6</v>
      </c>
      <c r="B11" s="17" t="s">
        <v>176</v>
      </c>
      <c r="C11" s="17" t="s">
        <v>192</v>
      </c>
      <c r="D11" s="17" t="s">
        <v>76</v>
      </c>
      <c r="E11" s="18">
        <v>1</v>
      </c>
      <c r="F11" s="19">
        <v>20000</v>
      </c>
      <c r="G11" s="20">
        <f t="shared" si="0"/>
        <v>20000</v>
      </c>
      <c r="H11" s="19">
        <v>40000</v>
      </c>
      <c r="I11" s="20">
        <f t="shared" si="1"/>
        <v>40000</v>
      </c>
      <c r="J11" s="19">
        <v>90000</v>
      </c>
      <c r="K11" s="20">
        <f t="shared" si="2"/>
        <v>90000</v>
      </c>
      <c r="L11" s="17"/>
      <c r="M11" s="21" t="s">
        <v>191</v>
      </c>
      <c r="N11" s="18" t="s">
        <v>180</v>
      </c>
      <c r="O11" s="20">
        <f t="shared" si="3"/>
        <v>20000</v>
      </c>
    </row>
    <row r="12" spans="1:15" ht="16" x14ac:dyDescent="0.2">
      <c r="A12" s="17">
        <v>7</v>
      </c>
      <c r="B12" s="17" t="s">
        <v>176</v>
      </c>
      <c r="C12" s="17" t="s">
        <v>193</v>
      </c>
      <c r="D12" s="17" t="s">
        <v>76</v>
      </c>
      <c r="E12" s="18">
        <v>1</v>
      </c>
      <c r="F12" s="19">
        <v>5000</v>
      </c>
      <c r="G12" s="20">
        <f t="shared" si="0"/>
        <v>5000</v>
      </c>
      <c r="H12" s="19">
        <v>15000</v>
      </c>
      <c r="I12" s="20">
        <f t="shared" si="1"/>
        <v>15000</v>
      </c>
      <c r="J12" s="19">
        <v>40000</v>
      </c>
      <c r="K12" s="20">
        <f t="shared" si="2"/>
        <v>40000</v>
      </c>
      <c r="L12" s="17"/>
      <c r="M12" s="21" t="s">
        <v>191</v>
      </c>
      <c r="N12" s="18" t="s">
        <v>180</v>
      </c>
      <c r="O12" s="20">
        <f t="shared" si="3"/>
        <v>5000</v>
      </c>
    </row>
    <row r="13" spans="1:15" ht="16" x14ac:dyDescent="0.2">
      <c r="A13" s="17">
        <v>8</v>
      </c>
      <c r="B13" s="17" t="s">
        <v>176</v>
      </c>
      <c r="C13" s="17" t="s">
        <v>194</v>
      </c>
      <c r="D13" s="17" t="s">
        <v>76</v>
      </c>
      <c r="E13" s="18">
        <v>1</v>
      </c>
      <c r="F13" s="19">
        <v>35000</v>
      </c>
      <c r="G13" s="20">
        <f t="shared" si="0"/>
        <v>35000</v>
      </c>
      <c r="H13" s="19">
        <v>70000</v>
      </c>
      <c r="I13" s="20">
        <f t="shared" si="1"/>
        <v>70000</v>
      </c>
      <c r="J13" s="19">
        <v>180000</v>
      </c>
      <c r="K13" s="20">
        <f t="shared" si="2"/>
        <v>180000</v>
      </c>
      <c r="L13" s="17" t="s">
        <v>195</v>
      </c>
      <c r="M13" s="21" t="s">
        <v>191</v>
      </c>
      <c r="N13" s="18" t="s">
        <v>57</v>
      </c>
      <c r="O13" s="20">
        <f t="shared" si="3"/>
        <v>70000</v>
      </c>
    </row>
    <row r="14" spans="1:15" ht="16" x14ac:dyDescent="0.2">
      <c r="A14" s="17">
        <v>9</v>
      </c>
      <c r="B14" s="17" t="s">
        <v>176</v>
      </c>
      <c r="C14" s="17" t="s">
        <v>196</v>
      </c>
      <c r="D14" s="17" t="s">
        <v>76</v>
      </c>
      <c r="E14" s="18">
        <v>1</v>
      </c>
      <c r="F14" s="19">
        <v>0</v>
      </c>
      <c r="G14" s="20">
        <f t="shared" si="0"/>
        <v>0</v>
      </c>
      <c r="H14" s="19">
        <v>35000</v>
      </c>
      <c r="I14" s="20">
        <f t="shared" si="1"/>
        <v>35000</v>
      </c>
      <c r="J14" s="19">
        <v>80000</v>
      </c>
      <c r="K14" s="20">
        <f t="shared" si="2"/>
        <v>80000</v>
      </c>
      <c r="L14" s="17" t="s">
        <v>197</v>
      </c>
      <c r="M14" s="21" t="s">
        <v>191</v>
      </c>
      <c r="N14" s="18" t="s">
        <v>57</v>
      </c>
      <c r="O14" s="20">
        <f t="shared" si="3"/>
        <v>35000</v>
      </c>
    </row>
    <row r="15" spans="1:15" ht="16" x14ac:dyDescent="0.2">
      <c r="A15" s="17">
        <v>10</v>
      </c>
      <c r="B15" s="17" t="s">
        <v>176</v>
      </c>
      <c r="C15" s="17" t="s">
        <v>198</v>
      </c>
      <c r="D15" s="17" t="s">
        <v>76</v>
      </c>
      <c r="E15" s="18">
        <v>1</v>
      </c>
      <c r="F15" s="19">
        <v>6000</v>
      </c>
      <c r="G15" s="20">
        <f t="shared" si="0"/>
        <v>6000</v>
      </c>
      <c r="H15" s="19">
        <v>12000</v>
      </c>
      <c r="I15" s="20">
        <f t="shared" si="1"/>
        <v>12000</v>
      </c>
      <c r="J15" s="19">
        <v>30000</v>
      </c>
      <c r="K15" s="20">
        <f t="shared" si="2"/>
        <v>30000</v>
      </c>
      <c r="L15" s="17"/>
      <c r="M15" s="21" t="s">
        <v>191</v>
      </c>
      <c r="N15" s="18" t="s">
        <v>180</v>
      </c>
      <c r="O15" s="20">
        <f t="shared" si="3"/>
        <v>6000</v>
      </c>
    </row>
    <row r="16" spans="1:15" ht="32" x14ac:dyDescent="0.2">
      <c r="A16" s="17">
        <v>11</v>
      </c>
      <c r="B16" s="17" t="s">
        <v>176</v>
      </c>
      <c r="C16" s="17" t="s">
        <v>199</v>
      </c>
      <c r="D16" s="17" t="s">
        <v>66</v>
      </c>
      <c r="E16" s="18">
        <v>1</v>
      </c>
      <c r="F16" s="19">
        <v>12000</v>
      </c>
      <c r="G16" s="20">
        <f t="shared" si="0"/>
        <v>12000</v>
      </c>
      <c r="H16" s="19">
        <v>35000</v>
      </c>
      <c r="I16" s="20">
        <f t="shared" si="1"/>
        <v>35000</v>
      </c>
      <c r="J16" s="19">
        <v>100000</v>
      </c>
      <c r="K16" s="20">
        <f t="shared" si="2"/>
        <v>100000</v>
      </c>
      <c r="L16" s="17" t="s">
        <v>200</v>
      </c>
      <c r="M16" s="21" t="s">
        <v>201</v>
      </c>
      <c r="N16" s="18" t="s">
        <v>180</v>
      </c>
      <c r="O16" s="20">
        <f t="shared" si="3"/>
        <v>12000</v>
      </c>
    </row>
    <row r="17" spans="1:15" ht="32" x14ac:dyDescent="0.2">
      <c r="A17" s="17">
        <v>12</v>
      </c>
      <c r="B17" s="17" t="s">
        <v>176</v>
      </c>
      <c r="C17" s="17" t="s">
        <v>202</v>
      </c>
      <c r="D17" s="17" t="s">
        <v>66</v>
      </c>
      <c r="E17" s="18">
        <v>1</v>
      </c>
      <c r="F17" s="19">
        <v>8000</v>
      </c>
      <c r="G17" s="20">
        <f t="shared" si="0"/>
        <v>8000</v>
      </c>
      <c r="H17" s="19">
        <v>20000</v>
      </c>
      <c r="I17" s="20">
        <f t="shared" si="1"/>
        <v>20000</v>
      </c>
      <c r="J17" s="19">
        <v>50000</v>
      </c>
      <c r="K17" s="20">
        <f t="shared" si="2"/>
        <v>50000</v>
      </c>
      <c r="L17" s="17"/>
      <c r="M17" s="21" t="s">
        <v>201</v>
      </c>
      <c r="N17" s="18" t="s">
        <v>180</v>
      </c>
      <c r="O17" s="20">
        <f t="shared" si="3"/>
        <v>8000</v>
      </c>
    </row>
    <row r="18" spans="1:15" x14ac:dyDescent="0.2">
      <c r="A18" s="15" t="s">
        <v>203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 spans="1:15" ht="32" x14ac:dyDescent="0.2">
      <c r="A19" s="17">
        <v>13</v>
      </c>
      <c r="B19" s="17" t="s">
        <v>204</v>
      </c>
      <c r="C19" s="17" t="s">
        <v>205</v>
      </c>
      <c r="D19" s="17" t="s">
        <v>76</v>
      </c>
      <c r="E19" s="18">
        <v>1</v>
      </c>
      <c r="F19" s="19">
        <v>15000</v>
      </c>
      <c r="G19" s="20">
        <f t="shared" ref="G19:G26" si="4">E19*F19</f>
        <v>15000</v>
      </c>
      <c r="H19" s="19">
        <v>40000</v>
      </c>
      <c r="I19" s="20">
        <f t="shared" ref="I19:I26" si="5">E19*H19</f>
        <v>40000</v>
      </c>
      <c r="J19" s="19">
        <v>120000</v>
      </c>
      <c r="K19" s="20">
        <f t="shared" ref="K19:K26" si="6">E19*J19</f>
        <v>120000</v>
      </c>
      <c r="L19" s="17" t="s">
        <v>206</v>
      </c>
      <c r="M19" s="21" t="s">
        <v>201</v>
      </c>
      <c r="N19" s="18" t="s">
        <v>180</v>
      </c>
      <c r="O19" s="20">
        <f t="shared" ref="O19:O26" si="7">IF(N19="МИН",G19,IF(N19="МАКС",K19,I19))</f>
        <v>15000</v>
      </c>
    </row>
    <row r="20" spans="1:15" ht="32" x14ac:dyDescent="0.2">
      <c r="A20" s="17">
        <v>14</v>
      </c>
      <c r="B20" s="17" t="s">
        <v>204</v>
      </c>
      <c r="C20" s="17" t="s">
        <v>207</v>
      </c>
      <c r="D20" s="17" t="s">
        <v>76</v>
      </c>
      <c r="E20" s="18">
        <v>1</v>
      </c>
      <c r="F20" s="19">
        <v>12000</v>
      </c>
      <c r="G20" s="20">
        <f t="shared" si="4"/>
        <v>12000</v>
      </c>
      <c r="H20" s="19">
        <v>30000</v>
      </c>
      <c r="I20" s="20">
        <f t="shared" si="5"/>
        <v>30000</v>
      </c>
      <c r="J20" s="19">
        <v>80000</v>
      </c>
      <c r="K20" s="20">
        <f t="shared" si="6"/>
        <v>80000</v>
      </c>
      <c r="L20" s="17" t="s">
        <v>208</v>
      </c>
      <c r="M20" s="21" t="s">
        <v>201</v>
      </c>
      <c r="N20" s="18" t="s">
        <v>57</v>
      </c>
      <c r="O20" s="20">
        <f t="shared" si="7"/>
        <v>30000</v>
      </c>
    </row>
    <row r="21" spans="1:15" ht="16" x14ac:dyDescent="0.2">
      <c r="A21" s="17">
        <v>15</v>
      </c>
      <c r="B21" s="17" t="s">
        <v>204</v>
      </c>
      <c r="C21" s="17" t="s">
        <v>209</v>
      </c>
      <c r="D21" s="17" t="s">
        <v>76</v>
      </c>
      <c r="E21" s="18">
        <v>1</v>
      </c>
      <c r="F21" s="19">
        <v>20000</v>
      </c>
      <c r="G21" s="20">
        <f t="shared" si="4"/>
        <v>20000</v>
      </c>
      <c r="H21" s="19">
        <v>60000</v>
      </c>
      <c r="I21" s="20">
        <f t="shared" si="5"/>
        <v>60000</v>
      </c>
      <c r="J21" s="19">
        <v>180000</v>
      </c>
      <c r="K21" s="20">
        <f t="shared" si="6"/>
        <v>180000</v>
      </c>
      <c r="L21" s="17" t="s">
        <v>210</v>
      </c>
      <c r="M21" s="21" t="s">
        <v>201</v>
      </c>
      <c r="N21" s="18" t="s">
        <v>180</v>
      </c>
      <c r="O21" s="20">
        <f t="shared" si="7"/>
        <v>20000</v>
      </c>
    </row>
    <row r="22" spans="1:15" ht="16" x14ac:dyDescent="0.2">
      <c r="A22" s="17">
        <v>16</v>
      </c>
      <c r="B22" s="17" t="s">
        <v>204</v>
      </c>
      <c r="C22" s="17" t="s">
        <v>211</v>
      </c>
      <c r="D22" s="17" t="s">
        <v>76</v>
      </c>
      <c r="E22" s="18">
        <v>2</v>
      </c>
      <c r="F22" s="19">
        <v>3000</v>
      </c>
      <c r="G22" s="20">
        <f t="shared" si="4"/>
        <v>6000</v>
      </c>
      <c r="H22" s="19">
        <v>8000</v>
      </c>
      <c r="I22" s="20">
        <f t="shared" si="5"/>
        <v>16000</v>
      </c>
      <c r="J22" s="19">
        <v>25000</v>
      </c>
      <c r="K22" s="20">
        <f t="shared" si="6"/>
        <v>50000</v>
      </c>
      <c r="L22" s="17"/>
      <c r="M22" s="21" t="s">
        <v>201</v>
      </c>
      <c r="N22" s="18" t="s">
        <v>180</v>
      </c>
      <c r="O22" s="20">
        <f t="shared" si="7"/>
        <v>6000</v>
      </c>
    </row>
    <row r="23" spans="1:15" ht="16" x14ac:dyDescent="0.2">
      <c r="A23" s="17">
        <v>17</v>
      </c>
      <c r="B23" s="17" t="s">
        <v>204</v>
      </c>
      <c r="C23" s="17" t="s">
        <v>212</v>
      </c>
      <c r="D23" s="17" t="s">
        <v>76</v>
      </c>
      <c r="E23" s="18">
        <v>1</v>
      </c>
      <c r="F23" s="19">
        <v>8000</v>
      </c>
      <c r="G23" s="20">
        <f t="shared" si="4"/>
        <v>8000</v>
      </c>
      <c r="H23" s="19">
        <v>20000</v>
      </c>
      <c r="I23" s="20">
        <f t="shared" si="5"/>
        <v>20000</v>
      </c>
      <c r="J23" s="19">
        <v>50000</v>
      </c>
      <c r="K23" s="20">
        <f t="shared" si="6"/>
        <v>50000</v>
      </c>
      <c r="L23" s="17"/>
      <c r="M23" s="21" t="s">
        <v>201</v>
      </c>
      <c r="N23" s="18" t="s">
        <v>180</v>
      </c>
      <c r="O23" s="20">
        <f t="shared" si="7"/>
        <v>8000</v>
      </c>
    </row>
    <row r="24" spans="1:15" ht="32" x14ac:dyDescent="0.2">
      <c r="A24" s="17">
        <v>18</v>
      </c>
      <c r="B24" s="17" t="s">
        <v>204</v>
      </c>
      <c r="C24" s="17" t="s">
        <v>213</v>
      </c>
      <c r="D24" s="17" t="s">
        <v>66</v>
      </c>
      <c r="E24" s="18">
        <v>1</v>
      </c>
      <c r="F24" s="19">
        <v>5000</v>
      </c>
      <c r="G24" s="20">
        <f t="shared" si="4"/>
        <v>5000</v>
      </c>
      <c r="H24" s="19">
        <v>15000</v>
      </c>
      <c r="I24" s="20">
        <f t="shared" si="5"/>
        <v>15000</v>
      </c>
      <c r="J24" s="19">
        <v>40000</v>
      </c>
      <c r="K24" s="20">
        <f t="shared" si="6"/>
        <v>40000</v>
      </c>
      <c r="L24" s="17" t="s">
        <v>214</v>
      </c>
      <c r="M24" s="21" t="s">
        <v>201</v>
      </c>
      <c r="N24" s="18" t="s">
        <v>180</v>
      </c>
      <c r="O24" s="20">
        <f t="shared" si="7"/>
        <v>5000</v>
      </c>
    </row>
    <row r="25" spans="1:15" ht="32" x14ac:dyDescent="0.2">
      <c r="A25" s="17">
        <v>19</v>
      </c>
      <c r="B25" s="17" t="s">
        <v>204</v>
      </c>
      <c r="C25" s="17" t="s">
        <v>215</v>
      </c>
      <c r="D25" s="17" t="s">
        <v>66</v>
      </c>
      <c r="E25" s="18">
        <v>1</v>
      </c>
      <c r="F25" s="19">
        <v>5000</v>
      </c>
      <c r="G25" s="20">
        <f t="shared" si="4"/>
        <v>5000</v>
      </c>
      <c r="H25" s="19">
        <v>12000</v>
      </c>
      <c r="I25" s="20">
        <f t="shared" si="5"/>
        <v>12000</v>
      </c>
      <c r="J25" s="19">
        <v>30000</v>
      </c>
      <c r="K25" s="20">
        <f t="shared" si="6"/>
        <v>30000</v>
      </c>
      <c r="L25" s="17"/>
      <c r="M25" s="21" t="s">
        <v>201</v>
      </c>
      <c r="N25" s="18" t="s">
        <v>180</v>
      </c>
      <c r="O25" s="20">
        <f t="shared" si="7"/>
        <v>5000</v>
      </c>
    </row>
    <row r="26" spans="1:15" ht="32" x14ac:dyDescent="0.2">
      <c r="A26" s="17">
        <v>20</v>
      </c>
      <c r="B26" s="17" t="s">
        <v>204</v>
      </c>
      <c r="C26" s="17" t="s">
        <v>216</v>
      </c>
      <c r="D26" s="17" t="s">
        <v>66</v>
      </c>
      <c r="E26" s="18">
        <v>1</v>
      </c>
      <c r="F26" s="19">
        <v>2000</v>
      </c>
      <c r="G26" s="20">
        <f t="shared" si="4"/>
        <v>2000</v>
      </c>
      <c r="H26" s="19">
        <v>8000</v>
      </c>
      <c r="I26" s="20">
        <f t="shared" si="5"/>
        <v>8000</v>
      </c>
      <c r="J26" s="19">
        <v>25000</v>
      </c>
      <c r="K26" s="20">
        <f t="shared" si="6"/>
        <v>25000</v>
      </c>
      <c r="L26" s="17"/>
      <c r="M26" s="21" t="s">
        <v>186</v>
      </c>
      <c r="N26" s="18" t="s">
        <v>180</v>
      </c>
      <c r="O26" s="20">
        <f t="shared" si="7"/>
        <v>2000</v>
      </c>
    </row>
    <row r="27" spans="1:15" x14ac:dyDescent="0.2">
      <c r="A27" s="15" t="s">
        <v>217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</row>
    <row r="28" spans="1:15" ht="48" x14ac:dyDescent="0.2">
      <c r="A28" s="17">
        <v>21</v>
      </c>
      <c r="B28" s="17" t="s">
        <v>218</v>
      </c>
      <c r="C28" s="17" t="s">
        <v>219</v>
      </c>
      <c r="D28" s="17" t="s">
        <v>76</v>
      </c>
      <c r="E28" s="18">
        <v>1</v>
      </c>
      <c r="F28" s="19">
        <v>12000</v>
      </c>
      <c r="G28" s="20">
        <f t="shared" ref="G28:G36" si="8">E28*F28</f>
        <v>12000</v>
      </c>
      <c r="H28" s="19">
        <v>35000</v>
      </c>
      <c r="I28" s="20">
        <f t="shared" ref="I28:I36" si="9">E28*H28</f>
        <v>35000</v>
      </c>
      <c r="J28" s="19">
        <v>90000</v>
      </c>
      <c r="K28" s="20">
        <f t="shared" ref="K28:K36" si="10">E28*J28</f>
        <v>90000</v>
      </c>
      <c r="L28" s="17" t="s">
        <v>220</v>
      </c>
      <c r="M28" s="21" t="s">
        <v>201</v>
      </c>
      <c r="N28" s="18" t="s">
        <v>57</v>
      </c>
      <c r="O28" s="20">
        <f t="shared" ref="O28:O36" si="11">IF(N28="МИН",G28,IF(N28="МАКС",K28,I28))</f>
        <v>35000</v>
      </c>
    </row>
    <row r="29" spans="1:15" ht="16" x14ac:dyDescent="0.2">
      <c r="A29" s="17">
        <v>22</v>
      </c>
      <c r="B29" s="17" t="s">
        <v>218</v>
      </c>
      <c r="C29" s="17" t="s">
        <v>221</v>
      </c>
      <c r="D29" s="17" t="s">
        <v>76</v>
      </c>
      <c r="E29" s="18">
        <v>1</v>
      </c>
      <c r="F29" s="19">
        <v>7000</v>
      </c>
      <c r="G29" s="20">
        <f t="shared" si="8"/>
        <v>7000</v>
      </c>
      <c r="H29" s="19">
        <v>18000</v>
      </c>
      <c r="I29" s="20">
        <f t="shared" si="9"/>
        <v>18000</v>
      </c>
      <c r="J29" s="19">
        <v>45000</v>
      </c>
      <c r="K29" s="20">
        <f t="shared" si="10"/>
        <v>45000</v>
      </c>
      <c r="L29" s="17" t="s">
        <v>222</v>
      </c>
      <c r="M29" s="21" t="s">
        <v>201</v>
      </c>
      <c r="N29" s="18" t="s">
        <v>57</v>
      </c>
      <c r="O29" s="20">
        <f t="shared" si="11"/>
        <v>18000</v>
      </c>
    </row>
    <row r="30" spans="1:15" ht="32" x14ac:dyDescent="0.2">
      <c r="A30" s="17">
        <v>23</v>
      </c>
      <c r="B30" s="17" t="s">
        <v>218</v>
      </c>
      <c r="C30" s="17" t="s">
        <v>223</v>
      </c>
      <c r="D30" s="17" t="s">
        <v>66</v>
      </c>
      <c r="E30" s="18">
        <v>1</v>
      </c>
      <c r="F30" s="19">
        <v>8000</v>
      </c>
      <c r="G30" s="20">
        <f t="shared" si="8"/>
        <v>8000</v>
      </c>
      <c r="H30" s="19">
        <v>25000</v>
      </c>
      <c r="I30" s="20">
        <f t="shared" si="9"/>
        <v>25000</v>
      </c>
      <c r="J30" s="19">
        <v>60000</v>
      </c>
      <c r="K30" s="20">
        <f t="shared" si="10"/>
        <v>60000</v>
      </c>
      <c r="L30" s="17" t="s">
        <v>224</v>
      </c>
      <c r="M30" s="21" t="s">
        <v>201</v>
      </c>
      <c r="N30" s="18" t="s">
        <v>57</v>
      </c>
      <c r="O30" s="20">
        <f t="shared" si="11"/>
        <v>25000</v>
      </c>
    </row>
    <row r="31" spans="1:15" ht="16" x14ac:dyDescent="0.2">
      <c r="A31" s="17">
        <v>24</v>
      </c>
      <c r="B31" s="17" t="s">
        <v>218</v>
      </c>
      <c r="C31" s="17" t="s">
        <v>225</v>
      </c>
      <c r="D31" s="17" t="s">
        <v>76</v>
      </c>
      <c r="E31" s="18">
        <v>1</v>
      </c>
      <c r="F31" s="19">
        <v>15000</v>
      </c>
      <c r="G31" s="20">
        <f t="shared" si="8"/>
        <v>15000</v>
      </c>
      <c r="H31" s="19">
        <v>40000</v>
      </c>
      <c r="I31" s="20">
        <f t="shared" si="9"/>
        <v>40000</v>
      </c>
      <c r="J31" s="19">
        <v>120000</v>
      </c>
      <c r="K31" s="20">
        <f t="shared" si="10"/>
        <v>120000</v>
      </c>
      <c r="L31" s="17"/>
      <c r="M31" s="21" t="s">
        <v>201</v>
      </c>
      <c r="N31" s="18" t="s">
        <v>180</v>
      </c>
      <c r="O31" s="20">
        <f t="shared" si="11"/>
        <v>15000</v>
      </c>
    </row>
    <row r="32" spans="1:15" ht="16" x14ac:dyDescent="0.2">
      <c r="A32" s="17">
        <v>25</v>
      </c>
      <c r="B32" s="17" t="s">
        <v>218</v>
      </c>
      <c r="C32" s="17" t="s">
        <v>226</v>
      </c>
      <c r="D32" s="17" t="s">
        <v>76</v>
      </c>
      <c r="E32" s="18">
        <v>1</v>
      </c>
      <c r="F32" s="19">
        <v>5000</v>
      </c>
      <c r="G32" s="20">
        <f t="shared" si="8"/>
        <v>5000</v>
      </c>
      <c r="H32" s="19">
        <v>15000</v>
      </c>
      <c r="I32" s="20">
        <f t="shared" si="9"/>
        <v>15000</v>
      </c>
      <c r="J32" s="19">
        <v>40000</v>
      </c>
      <c r="K32" s="20">
        <f t="shared" si="10"/>
        <v>40000</v>
      </c>
      <c r="L32" s="17"/>
      <c r="M32" s="21" t="s">
        <v>201</v>
      </c>
      <c r="N32" s="18" t="s">
        <v>180</v>
      </c>
      <c r="O32" s="20">
        <f t="shared" si="11"/>
        <v>5000</v>
      </c>
    </row>
    <row r="33" spans="1:15" ht="32" x14ac:dyDescent="0.2">
      <c r="A33" s="17">
        <v>26</v>
      </c>
      <c r="B33" s="17" t="s">
        <v>218</v>
      </c>
      <c r="C33" s="17" t="s">
        <v>213</v>
      </c>
      <c r="D33" s="17" t="s">
        <v>66</v>
      </c>
      <c r="E33" s="18">
        <v>1</v>
      </c>
      <c r="F33" s="19">
        <v>4000</v>
      </c>
      <c r="G33" s="20">
        <f t="shared" si="8"/>
        <v>4000</v>
      </c>
      <c r="H33" s="19">
        <v>12000</v>
      </c>
      <c r="I33" s="20">
        <f t="shared" si="9"/>
        <v>12000</v>
      </c>
      <c r="J33" s="19">
        <v>30000</v>
      </c>
      <c r="K33" s="20">
        <f t="shared" si="10"/>
        <v>30000</v>
      </c>
      <c r="L33" s="17"/>
      <c r="M33" s="21" t="s">
        <v>201</v>
      </c>
      <c r="N33" s="18" t="s">
        <v>180</v>
      </c>
      <c r="O33" s="20">
        <f t="shared" si="11"/>
        <v>4000</v>
      </c>
    </row>
    <row r="34" spans="1:15" ht="16" x14ac:dyDescent="0.2">
      <c r="A34" s="17">
        <v>27</v>
      </c>
      <c r="B34" s="17" t="s">
        <v>218</v>
      </c>
      <c r="C34" s="17" t="s">
        <v>227</v>
      </c>
      <c r="D34" s="17" t="s">
        <v>76</v>
      </c>
      <c r="E34" s="18">
        <v>1</v>
      </c>
      <c r="F34" s="19">
        <v>3000</v>
      </c>
      <c r="G34" s="20">
        <f t="shared" si="8"/>
        <v>3000</v>
      </c>
      <c r="H34" s="19">
        <v>10000</v>
      </c>
      <c r="I34" s="20">
        <f t="shared" si="9"/>
        <v>10000</v>
      </c>
      <c r="J34" s="19">
        <v>30000</v>
      </c>
      <c r="K34" s="20">
        <f t="shared" si="10"/>
        <v>30000</v>
      </c>
      <c r="L34" s="17"/>
      <c r="M34" s="21" t="s">
        <v>201</v>
      </c>
      <c r="N34" s="18" t="s">
        <v>180</v>
      </c>
      <c r="O34" s="20">
        <f t="shared" si="11"/>
        <v>3000</v>
      </c>
    </row>
    <row r="35" spans="1:15" ht="32" x14ac:dyDescent="0.2">
      <c r="A35" s="17">
        <v>28</v>
      </c>
      <c r="B35" s="17" t="s">
        <v>218</v>
      </c>
      <c r="C35" s="17" t="s">
        <v>228</v>
      </c>
      <c r="D35" s="17" t="s">
        <v>66</v>
      </c>
      <c r="E35" s="18">
        <v>1</v>
      </c>
      <c r="F35" s="19">
        <v>3000</v>
      </c>
      <c r="G35" s="20">
        <f t="shared" si="8"/>
        <v>3000</v>
      </c>
      <c r="H35" s="19">
        <v>8000</v>
      </c>
      <c r="I35" s="20">
        <f t="shared" si="9"/>
        <v>8000</v>
      </c>
      <c r="J35" s="19">
        <v>20000</v>
      </c>
      <c r="K35" s="20">
        <f t="shared" si="10"/>
        <v>20000</v>
      </c>
      <c r="L35" s="17"/>
      <c r="M35" s="21" t="s">
        <v>201</v>
      </c>
      <c r="N35" s="18" t="s">
        <v>180</v>
      </c>
      <c r="O35" s="20">
        <f t="shared" si="11"/>
        <v>3000</v>
      </c>
    </row>
    <row r="36" spans="1:15" ht="32" x14ac:dyDescent="0.2">
      <c r="A36" s="17">
        <v>29</v>
      </c>
      <c r="B36" s="17" t="s">
        <v>218</v>
      </c>
      <c r="C36" s="17" t="s">
        <v>229</v>
      </c>
      <c r="D36" s="17" t="s">
        <v>66</v>
      </c>
      <c r="E36" s="18">
        <v>1</v>
      </c>
      <c r="F36" s="19">
        <v>2000</v>
      </c>
      <c r="G36" s="20">
        <f t="shared" si="8"/>
        <v>2000</v>
      </c>
      <c r="H36" s="19">
        <v>6000</v>
      </c>
      <c r="I36" s="20">
        <f t="shared" si="9"/>
        <v>6000</v>
      </c>
      <c r="J36" s="19">
        <v>15000</v>
      </c>
      <c r="K36" s="20">
        <f t="shared" si="10"/>
        <v>15000</v>
      </c>
      <c r="L36" s="17"/>
      <c r="M36" s="21" t="s">
        <v>186</v>
      </c>
      <c r="N36" s="18" t="s">
        <v>180</v>
      </c>
      <c r="O36" s="20">
        <f t="shared" si="11"/>
        <v>2000</v>
      </c>
    </row>
    <row r="37" spans="1:15" x14ac:dyDescent="0.2">
      <c r="A37" s="15" t="s">
        <v>230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</row>
    <row r="38" spans="1:15" ht="32" x14ac:dyDescent="0.2">
      <c r="A38" s="17">
        <v>30</v>
      </c>
      <c r="B38" s="17" t="s">
        <v>231</v>
      </c>
      <c r="C38" s="17" t="s">
        <v>232</v>
      </c>
      <c r="D38" s="17" t="s">
        <v>76</v>
      </c>
      <c r="E38" s="18">
        <v>1</v>
      </c>
      <c r="F38" s="19">
        <v>25000</v>
      </c>
      <c r="G38" s="20">
        <f t="shared" ref="G38:G46" si="12">E38*F38</f>
        <v>25000</v>
      </c>
      <c r="H38" s="19">
        <v>70000</v>
      </c>
      <c r="I38" s="20">
        <f t="shared" ref="I38:I46" si="13">E38*H38</f>
        <v>70000</v>
      </c>
      <c r="J38" s="19">
        <v>200000</v>
      </c>
      <c r="K38" s="20">
        <f t="shared" ref="K38:K46" si="14">E38*J38</f>
        <v>200000</v>
      </c>
      <c r="L38" s="17" t="s">
        <v>233</v>
      </c>
      <c r="M38" s="21" t="s">
        <v>234</v>
      </c>
      <c r="N38" s="18" t="s">
        <v>57</v>
      </c>
      <c r="O38" s="20">
        <f t="shared" ref="O38:O46" si="15">IF(N38="МИН",G38,IF(N38="МАКС",K38,I38))</f>
        <v>70000</v>
      </c>
    </row>
    <row r="39" spans="1:15" ht="42" x14ac:dyDescent="0.2">
      <c r="A39" s="17">
        <v>31</v>
      </c>
      <c r="B39" s="17" t="s">
        <v>231</v>
      </c>
      <c r="C39" s="17" t="s">
        <v>235</v>
      </c>
      <c r="D39" s="17" t="s">
        <v>76</v>
      </c>
      <c r="E39" s="18">
        <v>1</v>
      </c>
      <c r="F39" s="19">
        <v>25000</v>
      </c>
      <c r="G39" s="20">
        <f t="shared" si="12"/>
        <v>25000</v>
      </c>
      <c r="H39" s="19">
        <v>55000</v>
      </c>
      <c r="I39" s="20">
        <f t="shared" si="13"/>
        <v>55000</v>
      </c>
      <c r="J39" s="19">
        <v>150000</v>
      </c>
      <c r="K39" s="20">
        <f t="shared" si="14"/>
        <v>150000</v>
      </c>
      <c r="L39" s="17" t="s">
        <v>236</v>
      </c>
      <c r="M39" s="21" t="s">
        <v>237</v>
      </c>
      <c r="N39" s="18" t="s">
        <v>57</v>
      </c>
      <c r="O39" s="20">
        <f t="shared" si="15"/>
        <v>55000</v>
      </c>
    </row>
    <row r="40" spans="1:15" ht="32" x14ac:dyDescent="0.2">
      <c r="A40" s="17">
        <v>32</v>
      </c>
      <c r="B40" s="17" t="s">
        <v>231</v>
      </c>
      <c r="C40" s="17" t="s">
        <v>238</v>
      </c>
      <c r="D40" s="17" t="s">
        <v>66</v>
      </c>
      <c r="E40" s="18">
        <v>1</v>
      </c>
      <c r="F40" s="19">
        <v>3000</v>
      </c>
      <c r="G40" s="20">
        <f t="shared" si="12"/>
        <v>3000</v>
      </c>
      <c r="H40" s="19">
        <v>15000</v>
      </c>
      <c r="I40" s="20">
        <f t="shared" si="13"/>
        <v>15000</v>
      </c>
      <c r="J40" s="19">
        <v>50000</v>
      </c>
      <c r="K40" s="20">
        <f t="shared" si="14"/>
        <v>50000</v>
      </c>
      <c r="L40" s="17" t="s">
        <v>239</v>
      </c>
      <c r="M40" s="21" t="s">
        <v>201</v>
      </c>
      <c r="N40" s="18" t="s">
        <v>180</v>
      </c>
      <c r="O40" s="20">
        <f t="shared" si="15"/>
        <v>3000</v>
      </c>
    </row>
    <row r="41" spans="1:15" ht="16" x14ac:dyDescent="0.2">
      <c r="A41" s="17">
        <v>33</v>
      </c>
      <c r="B41" s="17" t="s">
        <v>231</v>
      </c>
      <c r="C41" s="17" t="s">
        <v>240</v>
      </c>
      <c r="D41" s="17" t="s">
        <v>76</v>
      </c>
      <c r="E41" s="18">
        <v>1</v>
      </c>
      <c r="F41" s="19">
        <v>3000</v>
      </c>
      <c r="G41" s="20">
        <f t="shared" si="12"/>
        <v>3000</v>
      </c>
      <c r="H41" s="19">
        <v>12000</v>
      </c>
      <c r="I41" s="20">
        <f t="shared" si="13"/>
        <v>12000</v>
      </c>
      <c r="J41" s="19">
        <v>40000</v>
      </c>
      <c r="K41" s="20">
        <f t="shared" si="14"/>
        <v>40000</v>
      </c>
      <c r="L41" s="17"/>
      <c r="M41" s="21" t="s">
        <v>201</v>
      </c>
      <c r="N41" s="18" t="s">
        <v>180</v>
      </c>
      <c r="O41" s="20">
        <f t="shared" si="15"/>
        <v>3000</v>
      </c>
    </row>
    <row r="42" spans="1:15" ht="16" x14ac:dyDescent="0.2">
      <c r="A42" s="17">
        <v>34</v>
      </c>
      <c r="B42" s="17" t="s">
        <v>231</v>
      </c>
      <c r="C42" s="17" t="s">
        <v>241</v>
      </c>
      <c r="D42" s="17" t="s">
        <v>76</v>
      </c>
      <c r="E42" s="18">
        <v>1</v>
      </c>
      <c r="F42" s="19">
        <v>10000</v>
      </c>
      <c r="G42" s="20">
        <f t="shared" si="12"/>
        <v>10000</v>
      </c>
      <c r="H42" s="19">
        <v>35000</v>
      </c>
      <c r="I42" s="20">
        <f t="shared" si="13"/>
        <v>35000</v>
      </c>
      <c r="J42" s="19">
        <v>120000</v>
      </c>
      <c r="K42" s="20">
        <f t="shared" si="14"/>
        <v>120000</v>
      </c>
      <c r="L42" s="17"/>
      <c r="M42" s="21" t="s">
        <v>201</v>
      </c>
      <c r="N42" s="18" t="s">
        <v>180</v>
      </c>
      <c r="O42" s="20">
        <f t="shared" si="15"/>
        <v>10000</v>
      </c>
    </row>
    <row r="43" spans="1:15" ht="16" x14ac:dyDescent="0.2">
      <c r="A43" s="17">
        <v>35</v>
      </c>
      <c r="B43" s="17" t="s">
        <v>231</v>
      </c>
      <c r="C43" s="17" t="s">
        <v>242</v>
      </c>
      <c r="D43" s="17" t="s">
        <v>76</v>
      </c>
      <c r="E43" s="18">
        <v>1</v>
      </c>
      <c r="F43" s="19">
        <v>0</v>
      </c>
      <c r="G43" s="20">
        <f t="shared" si="12"/>
        <v>0</v>
      </c>
      <c r="H43" s="19">
        <v>20000</v>
      </c>
      <c r="I43" s="20">
        <f t="shared" si="13"/>
        <v>20000</v>
      </c>
      <c r="J43" s="19">
        <v>60000</v>
      </c>
      <c r="K43" s="20">
        <f t="shared" si="14"/>
        <v>60000</v>
      </c>
      <c r="L43" s="17" t="s">
        <v>197</v>
      </c>
      <c r="M43" s="21" t="s">
        <v>201</v>
      </c>
      <c r="N43" s="18" t="s">
        <v>180</v>
      </c>
      <c r="O43" s="20">
        <f t="shared" si="15"/>
        <v>0</v>
      </c>
    </row>
    <row r="44" spans="1:15" ht="16" x14ac:dyDescent="0.2">
      <c r="A44" s="17">
        <v>36</v>
      </c>
      <c r="B44" s="17" t="s">
        <v>231</v>
      </c>
      <c r="C44" s="17" t="s">
        <v>227</v>
      </c>
      <c r="D44" s="17" t="s">
        <v>76</v>
      </c>
      <c r="E44" s="18">
        <v>1</v>
      </c>
      <c r="F44" s="19">
        <v>5000</v>
      </c>
      <c r="G44" s="20">
        <f t="shared" si="12"/>
        <v>5000</v>
      </c>
      <c r="H44" s="19">
        <v>15000</v>
      </c>
      <c r="I44" s="20">
        <f t="shared" si="13"/>
        <v>15000</v>
      </c>
      <c r="J44" s="19">
        <v>50000</v>
      </c>
      <c r="K44" s="20">
        <f t="shared" si="14"/>
        <v>50000</v>
      </c>
      <c r="L44" s="17"/>
      <c r="M44" s="21" t="s">
        <v>201</v>
      </c>
      <c r="N44" s="18" t="s">
        <v>180</v>
      </c>
      <c r="O44" s="20">
        <f t="shared" si="15"/>
        <v>5000</v>
      </c>
    </row>
    <row r="45" spans="1:15" ht="32" x14ac:dyDescent="0.2">
      <c r="A45" s="17">
        <v>37</v>
      </c>
      <c r="B45" s="17" t="s">
        <v>231</v>
      </c>
      <c r="C45" s="17" t="s">
        <v>213</v>
      </c>
      <c r="D45" s="17" t="s">
        <v>66</v>
      </c>
      <c r="E45" s="18">
        <v>1</v>
      </c>
      <c r="F45" s="19">
        <v>6000</v>
      </c>
      <c r="G45" s="20">
        <f t="shared" si="12"/>
        <v>6000</v>
      </c>
      <c r="H45" s="19">
        <v>18000</v>
      </c>
      <c r="I45" s="20">
        <f t="shared" si="13"/>
        <v>18000</v>
      </c>
      <c r="J45" s="19">
        <v>50000</v>
      </c>
      <c r="K45" s="20">
        <f t="shared" si="14"/>
        <v>50000</v>
      </c>
      <c r="L45" s="17"/>
      <c r="M45" s="21" t="s">
        <v>201</v>
      </c>
      <c r="N45" s="18" t="s">
        <v>180</v>
      </c>
      <c r="O45" s="20">
        <f t="shared" si="15"/>
        <v>6000</v>
      </c>
    </row>
    <row r="46" spans="1:15" ht="32" x14ac:dyDescent="0.2">
      <c r="A46" s="17">
        <v>38</v>
      </c>
      <c r="B46" s="17" t="s">
        <v>231</v>
      </c>
      <c r="C46" s="17" t="s">
        <v>243</v>
      </c>
      <c r="D46" s="17" t="s">
        <v>66</v>
      </c>
      <c r="E46" s="18">
        <v>1</v>
      </c>
      <c r="F46" s="19">
        <v>2000</v>
      </c>
      <c r="G46" s="20">
        <f t="shared" si="12"/>
        <v>2000</v>
      </c>
      <c r="H46" s="19">
        <v>8000</v>
      </c>
      <c r="I46" s="20">
        <f t="shared" si="13"/>
        <v>8000</v>
      </c>
      <c r="J46" s="19">
        <v>25000</v>
      </c>
      <c r="K46" s="20">
        <f t="shared" si="14"/>
        <v>25000</v>
      </c>
      <c r="L46" s="17"/>
      <c r="M46" s="21" t="s">
        <v>186</v>
      </c>
      <c r="N46" s="18" t="s">
        <v>180</v>
      </c>
      <c r="O46" s="20">
        <f t="shared" si="15"/>
        <v>2000</v>
      </c>
    </row>
    <row r="47" spans="1:15" x14ac:dyDescent="0.2">
      <c r="A47" s="15" t="s">
        <v>244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</row>
    <row r="48" spans="1:15" ht="32" x14ac:dyDescent="0.2">
      <c r="A48" s="17">
        <v>39</v>
      </c>
      <c r="B48" s="17" t="s">
        <v>245</v>
      </c>
      <c r="C48" s="17" t="s">
        <v>246</v>
      </c>
      <c r="D48" s="17" t="s">
        <v>66</v>
      </c>
      <c r="E48" s="18">
        <v>1</v>
      </c>
      <c r="F48" s="19">
        <v>8000</v>
      </c>
      <c r="G48" s="20">
        <f t="shared" ref="G48:G54" si="16">E48*F48</f>
        <v>8000</v>
      </c>
      <c r="H48" s="19">
        <v>30000</v>
      </c>
      <c r="I48" s="20">
        <f t="shared" ref="I48:I54" si="17">E48*H48</f>
        <v>30000</v>
      </c>
      <c r="J48" s="19">
        <v>90000</v>
      </c>
      <c r="K48" s="20">
        <f t="shared" ref="K48:K54" si="18">E48*J48</f>
        <v>90000</v>
      </c>
      <c r="L48" s="17" t="s">
        <v>247</v>
      </c>
      <c r="M48" s="21" t="s">
        <v>201</v>
      </c>
      <c r="N48" s="18" t="s">
        <v>180</v>
      </c>
      <c r="O48" s="20">
        <f t="shared" ref="O48:O54" si="19">IF(N48="МИН",G48,IF(N48="МАКС",K48,I48))</f>
        <v>8000</v>
      </c>
    </row>
    <row r="49" spans="1:15" ht="16" x14ac:dyDescent="0.2">
      <c r="A49" s="17">
        <v>40</v>
      </c>
      <c r="B49" s="17" t="s">
        <v>245</v>
      </c>
      <c r="C49" s="17" t="s">
        <v>248</v>
      </c>
      <c r="D49" s="17" t="s">
        <v>76</v>
      </c>
      <c r="E49" s="18">
        <v>1</v>
      </c>
      <c r="F49" s="19">
        <v>1500</v>
      </c>
      <c r="G49" s="20">
        <f t="shared" si="16"/>
        <v>1500</v>
      </c>
      <c r="H49" s="19">
        <v>5000</v>
      </c>
      <c r="I49" s="20">
        <f t="shared" si="17"/>
        <v>5000</v>
      </c>
      <c r="J49" s="19">
        <v>15000</v>
      </c>
      <c r="K49" s="20">
        <f t="shared" si="18"/>
        <v>15000</v>
      </c>
      <c r="L49" s="17"/>
      <c r="M49" s="21" t="s">
        <v>201</v>
      </c>
      <c r="N49" s="18" t="s">
        <v>180</v>
      </c>
      <c r="O49" s="20">
        <f t="shared" si="19"/>
        <v>1500</v>
      </c>
    </row>
    <row r="50" spans="1:15" ht="16" x14ac:dyDescent="0.2">
      <c r="A50" s="17">
        <v>41</v>
      </c>
      <c r="B50" s="17" t="s">
        <v>249</v>
      </c>
      <c r="C50" s="17" t="s">
        <v>250</v>
      </c>
      <c r="D50" s="17" t="s">
        <v>76</v>
      </c>
      <c r="E50" s="18">
        <v>1</v>
      </c>
      <c r="F50" s="19">
        <v>25000</v>
      </c>
      <c r="G50" s="20">
        <f t="shared" si="16"/>
        <v>25000</v>
      </c>
      <c r="H50" s="19">
        <v>45000</v>
      </c>
      <c r="I50" s="20">
        <f t="shared" si="17"/>
        <v>45000</v>
      </c>
      <c r="J50" s="19">
        <v>100000</v>
      </c>
      <c r="K50" s="20">
        <f t="shared" si="18"/>
        <v>100000</v>
      </c>
      <c r="L50" s="17" t="s">
        <v>251</v>
      </c>
      <c r="M50" s="21" t="s">
        <v>191</v>
      </c>
      <c r="N50" s="18" t="s">
        <v>57</v>
      </c>
      <c r="O50" s="20">
        <f t="shared" si="19"/>
        <v>45000</v>
      </c>
    </row>
    <row r="51" spans="1:15" ht="16" x14ac:dyDescent="0.2">
      <c r="A51" s="17">
        <v>42</v>
      </c>
      <c r="B51" s="17" t="s">
        <v>249</v>
      </c>
      <c r="C51" s="17" t="s">
        <v>252</v>
      </c>
      <c r="D51" s="17" t="s">
        <v>76</v>
      </c>
      <c r="E51" s="18">
        <v>1</v>
      </c>
      <c r="F51" s="19">
        <v>8000</v>
      </c>
      <c r="G51" s="20">
        <f t="shared" si="16"/>
        <v>8000</v>
      </c>
      <c r="H51" s="19">
        <v>25000</v>
      </c>
      <c r="I51" s="20">
        <f t="shared" si="17"/>
        <v>25000</v>
      </c>
      <c r="J51" s="19">
        <v>60000</v>
      </c>
      <c r="K51" s="20">
        <f t="shared" si="18"/>
        <v>60000</v>
      </c>
      <c r="L51" s="17" t="s">
        <v>253</v>
      </c>
      <c r="M51" s="21" t="s">
        <v>191</v>
      </c>
      <c r="N51" s="18" t="s">
        <v>180</v>
      </c>
      <c r="O51" s="20">
        <f t="shared" si="19"/>
        <v>8000</v>
      </c>
    </row>
    <row r="52" spans="1:15" ht="32" x14ac:dyDescent="0.2">
      <c r="A52" s="17">
        <v>43</v>
      </c>
      <c r="B52" s="17" t="s">
        <v>249</v>
      </c>
      <c r="C52" s="17" t="s">
        <v>254</v>
      </c>
      <c r="D52" s="17" t="s">
        <v>66</v>
      </c>
      <c r="E52" s="18">
        <v>1</v>
      </c>
      <c r="F52" s="19">
        <v>3000</v>
      </c>
      <c r="G52" s="20">
        <f t="shared" si="16"/>
        <v>3000</v>
      </c>
      <c r="H52" s="19">
        <v>6000</v>
      </c>
      <c r="I52" s="20">
        <f t="shared" si="17"/>
        <v>6000</v>
      </c>
      <c r="J52" s="19">
        <v>12000</v>
      </c>
      <c r="K52" s="20">
        <f t="shared" si="18"/>
        <v>12000</v>
      </c>
      <c r="L52" s="17"/>
      <c r="M52" s="21" t="s">
        <v>191</v>
      </c>
      <c r="N52" s="18" t="s">
        <v>180</v>
      </c>
      <c r="O52" s="20">
        <f t="shared" si="19"/>
        <v>3000</v>
      </c>
    </row>
    <row r="53" spans="1:15" ht="32" x14ac:dyDescent="0.2">
      <c r="A53" s="17">
        <v>44</v>
      </c>
      <c r="B53" s="17" t="s">
        <v>249</v>
      </c>
      <c r="C53" s="17" t="s">
        <v>255</v>
      </c>
      <c r="D53" s="17" t="s">
        <v>66</v>
      </c>
      <c r="E53" s="18">
        <v>1</v>
      </c>
      <c r="F53" s="19">
        <v>3000</v>
      </c>
      <c r="G53" s="20">
        <f t="shared" si="16"/>
        <v>3000</v>
      </c>
      <c r="H53" s="19">
        <v>8000</v>
      </c>
      <c r="I53" s="20">
        <f t="shared" si="17"/>
        <v>8000</v>
      </c>
      <c r="J53" s="19">
        <v>20000</v>
      </c>
      <c r="K53" s="20">
        <f t="shared" si="18"/>
        <v>20000</v>
      </c>
      <c r="L53" s="17"/>
      <c r="M53" s="21" t="s">
        <v>201</v>
      </c>
      <c r="N53" s="18" t="s">
        <v>180</v>
      </c>
      <c r="O53" s="20">
        <f t="shared" si="19"/>
        <v>3000</v>
      </c>
    </row>
    <row r="54" spans="1:15" ht="32" x14ac:dyDescent="0.2">
      <c r="A54" s="17">
        <v>45</v>
      </c>
      <c r="B54" s="17" t="s">
        <v>249</v>
      </c>
      <c r="C54" s="17" t="s">
        <v>256</v>
      </c>
      <c r="D54" s="17" t="s">
        <v>66</v>
      </c>
      <c r="E54" s="18">
        <v>1</v>
      </c>
      <c r="F54" s="19">
        <v>5000</v>
      </c>
      <c r="G54" s="20">
        <f t="shared" si="16"/>
        <v>5000</v>
      </c>
      <c r="H54" s="19">
        <v>10000</v>
      </c>
      <c r="I54" s="20">
        <f t="shared" si="17"/>
        <v>10000</v>
      </c>
      <c r="J54" s="19">
        <v>25000</v>
      </c>
      <c r="K54" s="20">
        <f t="shared" si="18"/>
        <v>25000</v>
      </c>
      <c r="L54" s="17"/>
      <c r="M54" s="21" t="s">
        <v>191</v>
      </c>
      <c r="N54" s="18" t="s">
        <v>180</v>
      </c>
      <c r="O54" s="20">
        <f t="shared" si="19"/>
        <v>5000</v>
      </c>
    </row>
    <row r="55" spans="1:15" x14ac:dyDescent="0.2">
      <c r="A55" s="15" t="s">
        <v>257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</row>
    <row r="56" spans="1:15" ht="32" x14ac:dyDescent="0.2">
      <c r="A56" s="17">
        <v>46</v>
      </c>
      <c r="B56" s="17" t="s">
        <v>258</v>
      </c>
      <c r="C56" s="17" t="s">
        <v>259</v>
      </c>
      <c r="D56" s="17" t="s">
        <v>66</v>
      </c>
      <c r="E56" s="18">
        <v>1</v>
      </c>
      <c r="F56" s="19">
        <v>8000</v>
      </c>
      <c r="G56" s="20">
        <f>E56*F56</f>
        <v>8000</v>
      </c>
      <c r="H56" s="19">
        <v>25000</v>
      </c>
      <c r="I56" s="20">
        <f>E56*H56</f>
        <v>25000</v>
      </c>
      <c r="J56" s="19">
        <v>50000</v>
      </c>
      <c r="K56" s="20">
        <f>E56*J56</f>
        <v>50000</v>
      </c>
      <c r="L56" s="17" t="s">
        <v>260</v>
      </c>
      <c r="M56" s="17"/>
      <c r="N56" s="18" t="s">
        <v>57</v>
      </c>
      <c r="O56" s="20">
        <f>IF(N56="МИН",G56,IF(N56="МАКС",K56,I56))</f>
        <v>25000</v>
      </c>
    </row>
    <row r="57" spans="1:15" ht="32" x14ac:dyDescent="0.2">
      <c r="A57" s="17">
        <v>47</v>
      </c>
      <c r="B57" s="17" t="s">
        <v>258</v>
      </c>
      <c r="C57" s="17" t="s">
        <v>261</v>
      </c>
      <c r="D57" s="17" t="s">
        <v>66</v>
      </c>
      <c r="E57" s="18">
        <v>1</v>
      </c>
      <c r="F57" s="19">
        <v>5000</v>
      </c>
      <c r="G57" s="20">
        <f>E57*F57</f>
        <v>5000</v>
      </c>
      <c r="H57" s="19">
        <v>15000</v>
      </c>
      <c r="I57" s="20">
        <f>E57*H57</f>
        <v>15000</v>
      </c>
      <c r="J57" s="19">
        <v>30000</v>
      </c>
      <c r="K57" s="20">
        <f>E57*J57</f>
        <v>30000</v>
      </c>
      <c r="L57" s="17" t="s">
        <v>262</v>
      </c>
      <c r="M57" s="17"/>
      <c r="N57" s="18" t="s">
        <v>57</v>
      </c>
      <c r="O57" s="20">
        <f>IF(N57="МИН",G57,IF(N57="МАКС",K57,I57))</f>
        <v>15000</v>
      </c>
    </row>
    <row r="58" spans="1:15" ht="32" x14ac:dyDescent="0.2">
      <c r="A58" s="17">
        <v>48</v>
      </c>
      <c r="B58" s="17" t="s">
        <v>258</v>
      </c>
      <c r="C58" s="17" t="s">
        <v>263</v>
      </c>
      <c r="D58" s="17" t="s">
        <v>66</v>
      </c>
      <c r="E58" s="18">
        <v>1</v>
      </c>
      <c r="F58" s="19">
        <v>3000</v>
      </c>
      <c r="G58" s="20">
        <f>E58*F58</f>
        <v>3000</v>
      </c>
      <c r="H58" s="19">
        <v>8000</v>
      </c>
      <c r="I58" s="20">
        <f>E58*H58</f>
        <v>8000</v>
      </c>
      <c r="J58" s="19">
        <v>15000</v>
      </c>
      <c r="K58" s="20">
        <f>E58*J58</f>
        <v>15000</v>
      </c>
      <c r="L58" s="17"/>
      <c r="M58" s="17"/>
      <c r="N58" s="18" t="s">
        <v>57</v>
      </c>
      <c r="O58" s="20">
        <f>IF(N58="МИН",G58,IF(N58="МАКС",K58,I58))</f>
        <v>8000</v>
      </c>
    </row>
    <row r="59" spans="1:15" ht="16" x14ac:dyDescent="0.2">
      <c r="A59" s="17">
        <v>49</v>
      </c>
      <c r="B59" s="17" t="s">
        <v>258</v>
      </c>
      <c r="C59" s="17" t="s">
        <v>264</v>
      </c>
      <c r="D59" s="17" t="s">
        <v>76</v>
      </c>
      <c r="E59" s="18">
        <v>1</v>
      </c>
      <c r="F59" s="19">
        <v>1500</v>
      </c>
      <c r="G59" s="20">
        <f>E59*F59</f>
        <v>1500</v>
      </c>
      <c r="H59" s="19">
        <v>2500</v>
      </c>
      <c r="I59" s="20">
        <f>E59*H59</f>
        <v>2500</v>
      </c>
      <c r="J59" s="19">
        <v>4000</v>
      </c>
      <c r="K59" s="20">
        <f>E59*J59</f>
        <v>4000</v>
      </c>
      <c r="L59" s="17"/>
      <c r="M59" s="17"/>
      <c r="N59" s="18" t="s">
        <v>57</v>
      </c>
      <c r="O59" s="20">
        <f>IF(N59="МИН",G59,IF(N59="МАКС",K59,I59))</f>
        <v>2500</v>
      </c>
    </row>
    <row r="60" spans="1:15" ht="32" x14ac:dyDescent="0.2">
      <c r="A60" s="17">
        <v>50</v>
      </c>
      <c r="B60" s="17" t="s">
        <v>258</v>
      </c>
      <c r="C60" s="17" t="s">
        <v>265</v>
      </c>
      <c r="D60" s="17" t="s">
        <v>66</v>
      </c>
      <c r="E60" s="18">
        <v>1</v>
      </c>
      <c r="F60" s="19">
        <v>5000</v>
      </c>
      <c r="G60" s="20">
        <f>E60*F60</f>
        <v>5000</v>
      </c>
      <c r="H60" s="19">
        <v>15000</v>
      </c>
      <c r="I60" s="20">
        <f>E60*H60</f>
        <v>15000</v>
      </c>
      <c r="J60" s="19">
        <v>30000</v>
      </c>
      <c r="K60" s="20">
        <f>E60*J60</f>
        <v>30000</v>
      </c>
      <c r="L60" s="17"/>
      <c r="M60" s="17"/>
      <c r="N60" s="18" t="s">
        <v>57</v>
      </c>
      <c r="O60" s="20">
        <f>IF(N60="МИН",G60,IF(N60="МАКС",K60,I60))</f>
        <v>15000</v>
      </c>
    </row>
    <row r="62" spans="1:15" x14ac:dyDescent="0.2">
      <c r="A62" s="16"/>
      <c r="B62" s="16"/>
      <c r="C62" s="15" t="s">
        <v>164</v>
      </c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</row>
    <row r="63" spans="1:15" x14ac:dyDescent="0.2">
      <c r="C63" s="22" t="s">
        <v>175</v>
      </c>
      <c r="G63" s="23">
        <f>SUM(G6:G17)</f>
        <v>187000</v>
      </c>
      <c r="I63" s="23">
        <f>SUM(I6:I17)</f>
        <v>460000</v>
      </c>
      <c r="K63" s="23">
        <f>SUM(K6:K17)</f>
        <v>1260000</v>
      </c>
      <c r="O63" s="23">
        <f>SUM(O6:O17)</f>
        <v>297000</v>
      </c>
    </row>
    <row r="64" spans="1:15" x14ac:dyDescent="0.2">
      <c r="C64" s="22" t="s">
        <v>203</v>
      </c>
      <c r="G64" s="23">
        <f>SUM(G19:G26)</f>
        <v>73000</v>
      </c>
      <c r="I64" s="23">
        <f>SUM(I19:I26)</f>
        <v>201000</v>
      </c>
      <c r="K64" s="23">
        <f>SUM(K19:K26)</f>
        <v>575000</v>
      </c>
      <c r="O64" s="23">
        <f>SUM(O19:O26)</f>
        <v>91000</v>
      </c>
    </row>
    <row r="65" spans="1:15" x14ac:dyDescent="0.2">
      <c r="C65" s="22" t="s">
        <v>217</v>
      </c>
      <c r="G65" s="23">
        <f>SUM(G28:G36)</f>
        <v>59000</v>
      </c>
      <c r="I65" s="23">
        <f>SUM(I28:I36)</f>
        <v>169000</v>
      </c>
      <c r="K65" s="23">
        <f>SUM(K28:K36)</f>
        <v>450000</v>
      </c>
      <c r="O65" s="23">
        <f>SUM(O28:O36)</f>
        <v>110000</v>
      </c>
    </row>
    <row r="66" spans="1:15" x14ac:dyDescent="0.2">
      <c r="C66" s="22" t="s">
        <v>230</v>
      </c>
      <c r="G66" s="23">
        <f>SUM(G38:G46)</f>
        <v>79000</v>
      </c>
      <c r="I66" s="23">
        <f>SUM(I38:I46)</f>
        <v>248000</v>
      </c>
      <c r="K66" s="23">
        <f>SUM(K38:K46)</f>
        <v>745000</v>
      </c>
      <c r="O66" s="23">
        <f>SUM(O38:O46)</f>
        <v>154000</v>
      </c>
    </row>
    <row r="67" spans="1:15" x14ac:dyDescent="0.2">
      <c r="C67" s="22" t="s">
        <v>244</v>
      </c>
      <c r="G67" s="23">
        <f>SUM(G48:G54)</f>
        <v>53500</v>
      </c>
      <c r="I67" s="23">
        <f>SUM(I48:I54)</f>
        <v>129000</v>
      </c>
      <c r="K67" s="23">
        <f>SUM(K48:K54)</f>
        <v>322000</v>
      </c>
      <c r="O67" s="23">
        <f>SUM(O48:O54)</f>
        <v>73500</v>
      </c>
    </row>
    <row r="68" spans="1:15" x14ac:dyDescent="0.2">
      <c r="C68" s="22" t="s">
        <v>257</v>
      </c>
      <c r="G68" s="23">
        <f>SUM(G56:G60)</f>
        <v>22500</v>
      </c>
      <c r="I68" s="23">
        <f>SUM(I56:I60)</f>
        <v>65500</v>
      </c>
      <c r="K68" s="23">
        <f>SUM(K56:K60)</f>
        <v>129000</v>
      </c>
      <c r="O68" s="23">
        <f>SUM(O56:O60)</f>
        <v>65500</v>
      </c>
    </row>
    <row r="69" spans="1:15" x14ac:dyDescent="0.2">
      <c r="C69" s="22" t="s">
        <v>266</v>
      </c>
      <c r="G69" s="23">
        <f>SUM(G63:G67)</f>
        <v>451500</v>
      </c>
      <c r="I69" s="23">
        <f>SUM(I63:I67)</f>
        <v>1207000</v>
      </c>
      <c r="K69" s="23">
        <f>SUM(K63:K67)</f>
        <v>3352000</v>
      </c>
      <c r="O69" s="23">
        <f>SUM(O63:O67)</f>
        <v>725500</v>
      </c>
    </row>
    <row r="70" spans="1:15" x14ac:dyDescent="0.2">
      <c r="C70" s="22" t="s">
        <v>267</v>
      </c>
      <c r="G70" s="23">
        <f>G68</f>
        <v>22500</v>
      </c>
      <c r="I70" s="23">
        <f>I68</f>
        <v>65500</v>
      </c>
      <c r="K70" s="23">
        <f>K68</f>
        <v>129000</v>
      </c>
      <c r="O70" s="23">
        <f>O68</f>
        <v>65500</v>
      </c>
    </row>
    <row r="71" spans="1:15" x14ac:dyDescent="0.2">
      <c r="A71" s="24"/>
      <c r="B71" s="24"/>
      <c r="C71" s="25" t="s">
        <v>167</v>
      </c>
      <c r="D71" s="24"/>
      <c r="E71" s="24"/>
      <c r="F71" s="24"/>
      <c r="G71" s="26">
        <f>G69+G70</f>
        <v>474000</v>
      </c>
      <c r="H71" s="24"/>
      <c r="I71" s="26">
        <f>I69+I70</f>
        <v>1272500</v>
      </c>
      <c r="J71" s="24"/>
      <c r="K71" s="26">
        <f>K69+K70</f>
        <v>3481000</v>
      </c>
      <c r="L71" s="24"/>
      <c r="M71" s="24"/>
      <c r="N71" s="24"/>
      <c r="O71" s="26">
        <f>O69+O70</f>
        <v>791000</v>
      </c>
    </row>
    <row r="72" spans="1:15" x14ac:dyDescent="0.2">
      <c r="C72" s="22" t="s">
        <v>168</v>
      </c>
      <c r="E72" s="27">
        <f>Параметры!$B$18</f>
        <v>0.1</v>
      </c>
      <c r="G72" s="28">
        <f>G71*$E$72</f>
        <v>47400</v>
      </c>
      <c r="I72" s="28">
        <f>I71*$E$72</f>
        <v>127250</v>
      </c>
      <c r="K72" s="28">
        <f>K71*$E$72</f>
        <v>348100</v>
      </c>
      <c r="O72" s="28">
        <f>O71*$E$72</f>
        <v>79100</v>
      </c>
    </row>
    <row r="73" spans="1:15" ht="16" x14ac:dyDescent="0.2">
      <c r="A73" s="24"/>
      <c r="B73" s="24"/>
      <c r="C73" s="29" t="s">
        <v>169</v>
      </c>
      <c r="D73" s="24"/>
      <c r="E73" s="24"/>
      <c r="F73" s="24"/>
      <c r="G73" s="30">
        <f>G71+G72</f>
        <v>521400</v>
      </c>
      <c r="H73" s="24"/>
      <c r="I73" s="30">
        <f>I71+I72</f>
        <v>1399750</v>
      </c>
      <c r="J73" s="24"/>
      <c r="K73" s="30">
        <f>K71+K72</f>
        <v>3829100</v>
      </c>
      <c r="L73" s="24"/>
      <c r="M73" s="24"/>
      <c r="N73" s="24"/>
      <c r="O73" s="30">
        <f>O71+O72</f>
        <v>870100</v>
      </c>
    </row>
    <row r="75" spans="1:15" ht="45" customHeight="1" x14ac:dyDescent="0.2">
      <c r="C75" s="31" t="s">
        <v>268</v>
      </c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</row>
  </sheetData>
  <mergeCells count="1">
    <mergeCell ref="C75:O75"/>
  </mergeCells>
  <dataValidations count="1">
    <dataValidation type="list" sqref="N5:N60" xr:uid="{00000000-0002-0000-0200-000000000000}">
      <formula1>"МИН,СРЕД,МАКС"</formula1>
      <formula2>0</formula2>
    </dataValidation>
  </dataValidations>
  <hyperlinks>
    <hyperlink ref="M6" r:id="rId1" xr:uid="{00000000-0004-0000-0200-000000000000}"/>
    <hyperlink ref="M7" r:id="rId2" xr:uid="{00000000-0004-0000-0200-000001000000}"/>
    <hyperlink ref="M8" r:id="rId3" xr:uid="{00000000-0004-0000-0200-000002000000}"/>
    <hyperlink ref="M9" r:id="rId4" xr:uid="{00000000-0004-0000-0200-000003000000}"/>
    <hyperlink ref="M10" r:id="rId5" xr:uid="{00000000-0004-0000-0200-000004000000}"/>
    <hyperlink ref="M11" r:id="rId6" xr:uid="{00000000-0004-0000-0200-000005000000}"/>
    <hyperlink ref="M12" r:id="rId7" xr:uid="{00000000-0004-0000-0200-000006000000}"/>
    <hyperlink ref="M13" r:id="rId8" xr:uid="{00000000-0004-0000-0200-000007000000}"/>
    <hyperlink ref="M14" r:id="rId9" xr:uid="{00000000-0004-0000-0200-000008000000}"/>
    <hyperlink ref="M15" r:id="rId10" xr:uid="{00000000-0004-0000-0200-000009000000}"/>
    <hyperlink ref="M16" r:id="rId11" xr:uid="{00000000-0004-0000-0200-00000A000000}"/>
    <hyperlink ref="M17" r:id="rId12" xr:uid="{00000000-0004-0000-0200-00000B000000}"/>
    <hyperlink ref="M19" r:id="rId13" xr:uid="{00000000-0004-0000-0200-00000C000000}"/>
    <hyperlink ref="M20" r:id="rId14" xr:uid="{00000000-0004-0000-0200-00000D000000}"/>
    <hyperlink ref="M21" r:id="rId15" xr:uid="{00000000-0004-0000-0200-00000E000000}"/>
    <hyperlink ref="M22" r:id="rId16" xr:uid="{00000000-0004-0000-0200-00000F000000}"/>
    <hyperlink ref="M23" r:id="rId17" xr:uid="{00000000-0004-0000-0200-000010000000}"/>
    <hyperlink ref="M24" r:id="rId18" xr:uid="{00000000-0004-0000-0200-000011000000}"/>
    <hyperlink ref="M25" r:id="rId19" xr:uid="{00000000-0004-0000-0200-000012000000}"/>
    <hyperlink ref="M26" r:id="rId20" xr:uid="{00000000-0004-0000-0200-000013000000}"/>
    <hyperlink ref="M28" r:id="rId21" xr:uid="{00000000-0004-0000-0200-000014000000}"/>
    <hyperlink ref="M29" r:id="rId22" xr:uid="{00000000-0004-0000-0200-000015000000}"/>
    <hyperlink ref="M30" r:id="rId23" xr:uid="{00000000-0004-0000-0200-000016000000}"/>
    <hyperlink ref="M31" r:id="rId24" xr:uid="{00000000-0004-0000-0200-000017000000}"/>
    <hyperlink ref="M32" r:id="rId25" xr:uid="{00000000-0004-0000-0200-000018000000}"/>
    <hyperlink ref="M33" r:id="rId26" xr:uid="{00000000-0004-0000-0200-000019000000}"/>
    <hyperlink ref="M34" r:id="rId27" xr:uid="{00000000-0004-0000-0200-00001A000000}"/>
    <hyperlink ref="M35" r:id="rId28" xr:uid="{00000000-0004-0000-0200-00001B000000}"/>
    <hyperlink ref="M36" r:id="rId29" xr:uid="{00000000-0004-0000-0200-00001C000000}"/>
    <hyperlink ref="M38" r:id="rId30" xr:uid="{00000000-0004-0000-0200-00001D000000}"/>
    <hyperlink ref="M39" r:id="rId31" xr:uid="{00000000-0004-0000-0200-00001E000000}"/>
    <hyperlink ref="M40" r:id="rId32" xr:uid="{00000000-0004-0000-0200-00001F000000}"/>
    <hyperlink ref="M41" r:id="rId33" xr:uid="{00000000-0004-0000-0200-000020000000}"/>
    <hyperlink ref="M42" r:id="rId34" xr:uid="{00000000-0004-0000-0200-000021000000}"/>
    <hyperlink ref="M43" r:id="rId35" xr:uid="{00000000-0004-0000-0200-000022000000}"/>
    <hyperlink ref="M44" r:id="rId36" xr:uid="{00000000-0004-0000-0200-000023000000}"/>
    <hyperlink ref="M45" r:id="rId37" xr:uid="{00000000-0004-0000-0200-000024000000}"/>
    <hyperlink ref="M46" r:id="rId38" xr:uid="{00000000-0004-0000-0200-000025000000}"/>
    <hyperlink ref="M48" r:id="rId39" xr:uid="{00000000-0004-0000-0200-000026000000}"/>
    <hyperlink ref="M49" r:id="rId40" xr:uid="{00000000-0004-0000-0200-000027000000}"/>
    <hyperlink ref="M50" r:id="rId41" xr:uid="{00000000-0004-0000-0200-000028000000}"/>
    <hyperlink ref="M51" r:id="rId42" xr:uid="{00000000-0004-0000-0200-000029000000}"/>
    <hyperlink ref="M52" r:id="rId43" xr:uid="{00000000-0004-0000-0200-00002A000000}"/>
    <hyperlink ref="M53" r:id="rId44" xr:uid="{00000000-0004-0000-0200-00002B000000}"/>
    <hyperlink ref="M54" r:id="rId45" xr:uid="{00000000-0004-0000-0200-00002C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4"/>
  <sheetViews>
    <sheetView zoomScaleNormal="100" workbookViewId="0">
      <selection sqref="A1:XFD1048576"/>
    </sheetView>
  </sheetViews>
  <sheetFormatPr baseColWidth="10" defaultColWidth="8.6640625" defaultRowHeight="15" x14ac:dyDescent="0.2"/>
  <cols>
    <col min="1" max="1" width="58" style="12" customWidth="1"/>
    <col min="2" max="5" width="16" style="12" customWidth="1"/>
    <col min="6" max="6" width="40" style="12" customWidth="1"/>
    <col min="7" max="16384" width="8.6640625" style="12"/>
  </cols>
  <sheetData>
    <row r="1" spans="1:6" ht="17" x14ac:dyDescent="0.2">
      <c r="A1" s="11" t="s">
        <v>269</v>
      </c>
    </row>
    <row r="2" spans="1:6" x14ac:dyDescent="0.2">
      <c r="A2" s="12" t="s">
        <v>270</v>
      </c>
    </row>
    <row r="4" spans="1:6" x14ac:dyDescent="0.2">
      <c r="A4" s="34" t="s">
        <v>271</v>
      </c>
      <c r="B4" s="34" t="s">
        <v>180</v>
      </c>
      <c r="C4" s="34" t="s">
        <v>57</v>
      </c>
      <c r="D4" s="34" t="s">
        <v>272</v>
      </c>
      <c r="E4" s="34" t="s">
        <v>273</v>
      </c>
      <c r="F4" s="34" t="s">
        <v>3</v>
      </c>
    </row>
    <row r="5" spans="1:6" x14ac:dyDescent="0.2">
      <c r="A5" s="33" t="s">
        <v>274</v>
      </c>
      <c r="B5" s="35">
        <f>'1_Ремонт'!G81</f>
        <v>232190</v>
      </c>
      <c r="C5" s="35">
        <f>'1_Ремонт'!I81</f>
        <v>598460</v>
      </c>
      <c r="D5" s="35">
        <f>'1_Ремонт'!K81</f>
        <v>1413650</v>
      </c>
      <c r="E5" s="35">
        <f>'1_Ремонт'!N81</f>
        <v>598460</v>
      </c>
      <c r="F5" s="12" t="s">
        <v>275</v>
      </c>
    </row>
    <row r="6" spans="1:6" x14ac:dyDescent="0.2">
      <c r="A6" s="33" t="s">
        <v>276</v>
      </c>
      <c r="B6" s="35">
        <f>'1_Ремонт'!G82</f>
        <v>125600</v>
      </c>
      <c r="C6" s="35">
        <f>'1_Ремонт'!I82</f>
        <v>235100</v>
      </c>
      <c r="D6" s="35">
        <f>'1_Ремонт'!K82</f>
        <v>420200</v>
      </c>
      <c r="E6" s="35">
        <f>'1_Ремонт'!N82</f>
        <v>235100</v>
      </c>
    </row>
    <row r="7" spans="1:6" x14ac:dyDescent="0.2">
      <c r="A7" s="33" t="s">
        <v>277</v>
      </c>
      <c r="B7" s="35">
        <f>'1_Ремонт'!G84</f>
        <v>35779</v>
      </c>
      <c r="C7" s="35">
        <f>'1_Ремонт'!I84</f>
        <v>83356</v>
      </c>
      <c r="D7" s="35">
        <f>'1_Ремонт'!K84</f>
        <v>183385</v>
      </c>
      <c r="E7" s="35">
        <f>'1_Ремонт'!N84</f>
        <v>83356</v>
      </c>
      <c r="F7" s="12" t="s">
        <v>278</v>
      </c>
    </row>
    <row r="8" spans="1:6" x14ac:dyDescent="0.2">
      <c r="A8" s="15" t="s">
        <v>279</v>
      </c>
      <c r="B8" s="36">
        <f>'1_Ремонт'!G85</f>
        <v>393569</v>
      </c>
      <c r="C8" s="36">
        <f>'1_Ремонт'!I85</f>
        <v>916916</v>
      </c>
      <c r="D8" s="36">
        <f>'1_Ремонт'!K85</f>
        <v>2017235</v>
      </c>
      <c r="E8" s="36">
        <f>'1_Ремонт'!N85</f>
        <v>916916</v>
      </c>
      <c r="F8" s="16" t="s">
        <v>280</v>
      </c>
    </row>
    <row r="9" spans="1:6" x14ac:dyDescent="0.2">
      <c r="A9" s="33"/>
    </row>
    <row r="10" spans="1:6" x14ac:dyDescent="0.2">
      <c r="A10" s="33" t="s">
        <v>281</v>
      </c>
      <c r="B10" s="35">
        <f>'2_Заезд'!G69</f>
        <v>451500</v>
      </c>
      <c r="C10" s="35">
        <f>'2_Заезд'!I69</f>
        <v>1207000</v>
      </c>
      <c r="D10" s="35">
        <f>'2_Заезд'!K69</f>
        <v>3352000</v>
      </c>
      <c r="E10" s="35">
        <f>'2_Заезд'!O69</f>
        <v>725500</v>
      </c>
    </row>
    <row r="11" spans="1:6" x14ac:dyDescent="0.2">
      <c r="A11" s="33" t="s">
        <v>282</v>
      </c>
      <c r="B11" s="35">
        <f>'2_Заезд'!G70</f>
        <v>22500</v>
      </c>
      <c r="C11" s="35">
        <f>'2_Заезд'!I70</f>
        <v>65500</v>
      </c>
      <c r="D11" s="35">
        <f>'2_Заезд'!K70</f>
        <v>129000</v>
      </c>
      <c r="E11" s="35">
        <f>'2_Заезд'!O70</f>
        <v>65500</v>
      </c>
    </row>
    <row r="12" spans="1:6" x14ac:dyDescent="0.2">
      <c r="A12" s="33" t="s">
        <v>283</v>
      </c>
      <c r="B12" s="35">
        <f>'2_Заезд'!G72</f>
        <v>47400</v>
      </c>
      <c r="C12" s="35">
        <f>'2_Заезд'!I72</f>
        <v>127250</v>
      </c>
      <c r="D12" s="35">
        <f>'2_Заезд'!K72</f>
        <v>348100</v>
      </c>
      <c r="E12" s="35">
        <f>'2_Заезд'!O72</f>
        <v>79100</v>
      </c>
    </row>
    <row r="13" spans="1:6" x14ac:dyDescent="0.2">
      <c r="A13" s="15" t="s">
        <v>284</v>
      </c>
      <c r="B13" s="36">
        <f>'2_Заезд'!G73</f>
        <v>521400</v>
      </c>
      <c r="C13" s="36">
        <f>'2_Заезд'!I73</f>
        <v>1399750</v>
      </c>
      <c r="D13" s="36">
        <f>'2_Заезд'!K73</f>
        <v>3829100</v>
      </c>
      <c r="E13" s="36">
        <f>'2_Заезд'!O73</f>
        <v>870100</v>
      </c>
      <c r="F13" s="16" t="s">
        <v>285</v>
      </c>
    </row>
    <row r="14" spans="1:6" x14ac:dyDescent="0.2">
      <c r="A14" s="33"/>
    </row>
    <row r="15" spans="1:6" x14ac:dyDescent="0.2">
      <c r="A15" s="22" t="s">
        <v>286</v>
      </c>
      <c r="B15" s="37">
        <f t="shared" ref="B15:E18" si="0">B5+B10</f>
        <v>683690</v>
      </c>
      <c r="C15" s="37">
        <f t="shared" si="0"/>
        <v>1805460</v>
      </c>
      <c r="D15" s="37">
        <f t="shared" si="0"/>
        <v>4765650</v>
      </c>
      <c r="E15" s="37">
        <f t="shared" si="0"/>
        <v>1323960</v>
      </c>
    </row>
    <row r="16" spans="1:6" x14ac:dyDescent="0.2">
      <c r="A16" s="22" t="s">
        <v>287</v>
      </c>
      <c r="B16" s="37">
        <f t="shared" si="0"/>
        <v>148100</v>
      </c>
      <c r="C16" s="37">
        <f t="shared" si="0"/>
        <v>300600</v>
      </c>
      <c r="D16" s="37">
        <f t="shared" si="0"/>
        <v>549200</v>
      </c>
      <c r="E16" s="37">
        <f t="shared" si="0"/>
        <v>300600</v>
      </c>
    </row>
    <row r="17" spans="1:6" x14ac:dyDescent="0.2">
      <c r="A17" s="22" t="s">
        <v>288</v>
      </c>
      <c r="B17" s="37">
        <f t="shared" si="0"/>
        <v>83179</v>
      </c>
      <c r="C17" s="37">
        <f t="shared" si="0"/>
        <v>210606</v>
      </c>
      <c r="D17" s="37">
        <f t="shared" si="0"/>
        <v>531485</v>
      </c>
      <c r="E17" s="37">
        <f t="shared" si="0"/>
        <v>162456</v>
      </c>
    </row>
    <row r="18" spans="1:6" x14ac:dyDescent="0.2">
      <c r="A18" s="25" t="s">
        <v>289</v>
      </c>
      <c r="B18" s="38">
        <f t="shared" si="0"/>
        <v>914969</v>
      </c>
      <c r="C18" s="38">
        <f t="shared" si="0"/>
        <v>2316666</v>
      </c>
      <c r="D18" s="38">
        <f t="shared" si="0"/>
        <v>5846335</v>
      </c>
      <c r="E18" s="38">
        <f t="shared" si="0"/>
        <v>1787016</v>
      </c>
      <c r="F18" s="24" t="s">
        <v>290</v>
      </c>
    </row>
    <row r="19" spans="1:6" x14ac:dyDescent="0.2">
      <c r="A19" s="33" t="s">
        <v>291</v>
      </c>
      <c r="B19" s="35">
        <f>IF(Параметры!$B$4=0,0,B18/Параметры!$B$4)</f>
        <v>16605.607985480943</v>
      </c>
      <c r="C19" s="35">
        <f>IF(Параметры!$B$4=0,0,C18/Параметры!$B$4)</f>
        <v>42044.75499092559</v>
      </c>
      <c r="D19" s="35">
        <f>IF(Параметры!$B$4=0,0,D18/Параметры!$B$4)</f>
        <v>106104.08348457349</v>
      </c>
      <c r="E19" s="35">
        <f>IF(Параметры!$B$4=0,0,E18/Параметры!$B$4)</f>
        <v>32432.232304900179</v>
      </c>
    </row>
    <row r="20" spans="1:6" x14ac:dyDescent="0.2">
      <c r="A20" s="33" t="s">
        <v>292</v>
      </c>
      <c r="B20" s="39">
        <f>IF(B18=0,0,B8/B18)</f>
        <v>0.43014462785077967</v>
      </c>
      <c r="C20" s="39">
        <f>IF(C18=0,0,C8/C18)</f>
        <v>0.39579119303343685</v>
      </c>
      <c r="D20" s="39">
        <f>IF(D18=0,0,D8/D18)</f>
        <v>0.34504266348062507</v>
      </c>
      <c r="E20" s="39">
        <f>IF(E18=0,0,E8/E18)</f>
        <v>0.51309893140296448</v>
      </c>
    </row>
    <row r="22" spans="1:6" ht="45" customHeight="1" x14ac:dyDescent="0.2">
      <c r="A22" s="31" t="s">
        <v>293</v>
      </c>
      <c r="B22" s="31"/>
      <c r="C22" s="31"/>
      <c r="D22" s="31"/>
      <c r="E22" s="31"/>
      <c r="F22" s="31"/>
    </row>
    <row r="23" spans="1:6" x14ac:dyDescent="0.2">
      <c r="A23" s="22" t="s">
        <v>294</v>
      </c>
    </row>
    <row r="24" spans="1:6" x14ac:dyDescent="0.2">
      <c r="A24" s="12" t="s">
        <v>295</v>
      </c>
    </row>
  </sheetData>
  <mergeCells count="1">
    <mergeCell ref="A22:F2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"/>
  <sheetViews>
    <sheetView zoomScaleNormal="100" workbookViewId="0"/>
  </sheetViews>
  <sheetFormatPr baseColWidth="10" defaultColWidth="8.6640625" defaultRowHeight="15" x14ac:dyDescent="0.2"/>
  <cols>
    <col min="1" max="1" width="16" customWidth="1"/>
    <col min="2" max="2" width="14" customWidth="1"/>
    <col min="3" max="3" width="16" customWidth="1"/>
    <col min="4" max="4" width="52" customWidth="1"/>
    <col min="5" max="5" width="60" customWidth="1"/>
  </cols>
  <sheetData>
    <row r="1" spans="1:5" ht="17" x14ac:dyDescent="0.2">
      <c r="A1" s="2" t="s">
        <v>296</v>
      </c>
    </row>
    <row r="3" spans="1:5" x14ac:dyDescent="0.2">
      <c r="A3" s="3" t="s">
        <v>297</v>
      </c>
      <c r="B3" s="3" t="s">
        <v>298</v>
      </c>
      <c r="C3" s="3" t="s">
        <v>299</v>
      </c>
      <c r="D3" s="3" t="s">
        <v>300</v>
      </c>
      <c r="E3" s="3" t="s">
        <v>301</v>
      </c>
    </row>
    <row r="4" spans="1:5" ht="16" x14ac:dyDescent="0.2">
      <c r="A4" s="8" t="s">
        <v>204</v>
      </c>
      <c r="B4" s="8">
        <v>11.7</v>
      </c>
      <c r="C4" s="8">
        <v>11.7</v>
      </c>
      <c r="D4" s="8" t="s">
        <v>302</v>
      </c>
      <c r="E4" s="8" t="s">
        <v>303</v>
      </c>
    </row>
    <row r="5" spans="1:5" ht="32" x14ac:dyDescent="0.2">
      <c r="A5" s="8" t="s">
        <v>304</v>
      </c>
      <c r="B5" s="8">
        <v>13.7</v>
      </c>
      <c r="C5" s="8">
        <v>12.2</v>
      </c>
      <c r="D5" s="8" t="s">
        <v>305</v>
      </c>
      <c r="E5" s="8" t="s">
        <v>306</v>
      </c>
    </row>
    <row r="6" spans="1:5" ht="16" x14ac:dyDescent="0.2">
      <c r="A6" s="8" t="s">
        <v>176</v>
      </c>
      <c r="B6" s="8">
        <v>10.3</v>
      </c>
      <c r="C6" s="8">
        <v>11.8</v>
      </c>
      <c r="D6" s="8" t="s">
        <v>307</v>
      </c>
      <c r="E6" s="8" t="s">
        <v>308</v>
      </c>
    </row>
    <row r="7" spans="1:5" ht="16" x14ac:dyDescent="0.2">
      <c r="A7" s="8" t="s">
        <v>245</v>
      </c>
      <c r="B7" s="8">
        <v>11.8</v>
      </c>
      <c r="C7" s="8">
        <v>11.8</v>
      </c>
      <c r="D7" s="8" t="s">
        <v>309</v>
      </c>
      <c r="E7" s="8" t="s">
        <v>310</v>
      </c>
    </row>
    <row r="8" spans="1:5" ht="16" x14ac:dyDescent="0.2">
      <c r="A8" s="8" t="s">
        <v>311</v>
      </c>
      <c r="B8" s="8">
        <v>2.8</v>
      </c>
      <c r="C8" s="8">
        <v>2.8</v>
      </c>
      <c r="D8" s="8" t="s">
        <v>312</v>
      </c>
      <c r="E8" s="8" t="s">
        <v>313</v>
      </c>
    </row>
    <row r="9" spans="1:5" ht="16" x14ac:dyDescent="0.2">
      <c r="A9" s="8" t="s">
        <v>314</v>
      </c>
      <c r="B9" s="8">
        <v>2.1</v>
      </c>
      <c r="C9" s="8">
        <v>2.1</v>
      </c>
      <c r="D9" s="8" t="s">
        <v>315</v>
      </c>
      <c r="E9" s="8" t="s">
        <v>303</v>
      </c>
    </row>
    <row r="10" spans="1:5" ht="16" x14ac:dyDescent="0.2">
      <c r="A10" s="8" t="s">
        <v>316</v>
      </c>
      <c r="B10" s="8">
        <v>2.7</v>
      </c>
      <c r="C10" s="8">
        <v>2.7</v>
      </c>
      <c r="D10" s="8" t="s">
        <v>317</v>
      </c>
      <c r="E10" s="8" t="s">
        <v>303</v>
      </c>
    </row>
    <row r="11" spans="1:5" x14ac:dyDescent="0.2">
      <c r="A11" s="7" t="s">
        <v>318</v>
      </c>
      <c r="B11" s="7">
        <f>SUM(B4:B9)</f>
        <v>52.4</v>
      </c>
      <c r="C11" s="7">
        <f>SUM(C4:C9)</f>
        <v>52.4</v>
      </c>
    </row>
    <row r="13" spans="1:5" ht="39.75" customHeight="1" x14ac:dyDescent="0.2">
      <c r="A13" s="1" t="s">
        <v>319</v>
      </c>
      <c r="B13" s="1"/>
      <c r="C13" s="1"/>
      <c r="D13" s="1"/>
      <c r="E13" s="1"/>
    </row>
    <row r="14" spans="1:5" ht="30" customHeight="1" x14ac:dyDescent="0.2">
      <c r="A14" s="1" t="s">
        <v>320</v>
      </c>
      <c r="B14" s="1"/>
      <c r="C14" s="1"/>
      <c r="D14" s="1"/>
      <c r="E14" s="1"/>
    </row>
  </sheetData>
  <mergeCells count="2">
    <mergeCell ref="A13:E13"/>
    <mergeCell ref="A14:E1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3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10" customWidth="1"/>
    <col min="3" max="3" width="62" customWidth="1"/>
    <col min="4" max="4" width="22" customWidth="1"/>
    <col min="5" max="5" width="30" customWidth="1"/>
    <col min="6" max="6" width="70" customWidth="1"/>
  </cols>
  <sheetData>
    <row r="1" spans="1:6" ht="17" x14ac:dyDescent="0.2">
      <c r="A1" s="2" t="s">
        <v>321</v>
      </c>
    </row>
    <row r="2" spans="1:6" x14ac:dyDescent="0.2">
      <c r="A2" t="s">
        <v>322</v>
      </c>
    </row>
    <row r="4" spans="1:6" x14ac:dyDescent="0.2">
      <c r="A4" s="3" t="s">
        <v>40</v>
      </c>
      <c r="B4" s="3" t="s">
        <v>323</v>
      </c>
      <c r="C4" s="3" t="s">
        <v>324</v>
      </c>
      <c r="D4" s="3" t="s">
        <v>325</v>
      </c>
      <c r="E4" s="3" t="s">
        <v>326</v>
      </c>
      <c r="F4" s="3" t="s">
        <v>327</v>
      </c>
    </row>
    <row r="5" spans="1:6" ht="16" x14ac:dyDescent="0.2">
      <c r="A5" s="8" t="s">
        <v>328</v>
      </c>
      <c r="B5" s="10" t="s">
        <v>180</v>
      </c>
      <c r="C5" s="8" t="s">
        <v>329</v>
      </c>
      <c r="D5" s="8" t="s">
        <v>330</v>
      </c>
      <c r="E5" s="8" t="s">
        <v>331</v>
      </c>
      <c r="F5" s="9" t="s">
        <v>332</v>
      </c>
    </row>
    <row r="6" spans="1:6" ht="16" x14ac:dyDescent="0.2">
      <c r="A6" s="8" t="s">
        <v>328</v>
      </c>
      <c r="B6" s="10" t="s">
        <v>180</v>
      </c>
      <c r="C6" s="8" t="s">
        <v>333</v>
      </c>
      <c r="D6" s="8" t="s">
        <v>334</v>
      </c>
      <c r="E6" s="8" t="s">
        <v>335</v>
      </c>
      <c r="F6" s="9" t="s">
        <v>336</v>
      </c>
    </row>
    <row r="7" spans="1:6" ht="32" x14ac:dyDescent="0.2">
      <c r="A7" s="8" t="s">
        <v>328</v>
      </c>
      <c r="B7" s="10" t="s">
        <v>57</v>
      </c>
      <c r="C7" s="8" t="s">
        <v>337</v>
      </c>
      <c r="D7" s="8" t="s">
        <v>338</v>
      </c>
      <c r="E7" s="8" t="s">
        <v>331</v>
      </c>
      <c r="F7" s="9" t="s">
        <v>332</v>
      </c>
    </row>
    <row r="8" spans="1:6" ht="16" x14ac:dyDescent="0.2">
      <c r="A8" s="8" t="s">
        <v>328</v>
      </c>
      <c r="B8" s="10" t="s">
        <v>272</v>
      </c>
      <c r="C8" s="8" t="s">
        <v>339</v>
      </c>
      <c r="D8" s="8" t="s">
        <v>340</v>
      </c>
      <c r="E8" s="8" t="s">
        <v>341</v>
      </c>
      <c r="F8" s="9" t="s">
        <v>342</v>
      </c>
    </row>
    <row r="9" spans="1:6" ht="16" x14ac:dyDescent="0.2">
      <c r="A9" s="8" t="s">
        <v>328</v>
      </c>
      <c r="B9" s="10" t="s">
        <v>272</v>
      </c>
      <c r="C9" s="8" t="s">
        <v>343</v>
      </c>
      <c r="D9" s="8" t="s">
        <v>344</v>
      </c>
      <c r="E9" s="8" t="s">
        <v>345</v>
      </c>
      <c r="F9" s="9" t="s">
        <v>346</v>
      </c>
    </row>
    <row r="10" spans="1:6" ht="32" x14ac:dyDescent="0.2">
      <c r="A10" s="8" t="s">
        <v>347</v>
      </c>
      <c r="B10" s="10" t="s">
        <v>348</v>
      </c>
      <c r="C10" s="8" t="s">
        <v>349</v>
      </c>
      <c r="D10" s="8" t="s">
        <v>350</v>
      </c>
      <c r="E10" s="8" t="s">
        <v>331</v>
      </c>
      <c r="F10" s="9" t="s">
        <v>186</v>
      </c>
    </row>
    <row r="11" spans="1:6" ht="32" x14ac:dyDescent="0.2">
      <c r="A11" s="8" t="s">
        <v>351</v>
      </c>
      <c r="B11" s="10" t="s">
        <v>180</v>
      </c>
      <c r="C11" s="8" t="s">
        <v>352</v>
      </c>
      <c r="D11" s="8" t="s">
        <v>353</v>
      </c>
      <c r="E11" s="8" t="s">
        <v>354</v>
      </c>
      <c r="F11" s="9" t="s">
        <v>355</v>
      </c>
    </row>
    <row r="12" spans="1:6" ht="16" x14ac:dyDescent="0.2">
      <c r="A12" s="8" t="s">
        <v>351</v>
      </c>
      <c r="B12" s="10" t="s">
        <v>356</v>
      </c>
      <c r="C12" s="8" t="s">
        <v>357</v>
      </c>
      <c r="D12" s="8" t="s">
        <v>358</v>
      </c>
      <c r="E12" s="8" t="s">
        <v>359</v>
      </c>
      <c r="F12" s="9" t="s">
        <v>360</v>
      </c>
    </row>
    <row r="13" spans="1:6" ht="16" x14ac:dyDescent="0.2">
      <c r="A13" s="8" t="s">
        <v>351</v>
      </c>
      <c r="B13" s="10" t="s">
        <v>57</v>
      </c>
      <c r="C13" s="8" t="s">
        <v>361</v>
      </c>
      <c r="D13" s="8" t="s">
        <v>362</v>
      </c>
      <c r="E13" s="8" t="s">
        <v>363</v>
      </c>
      <c r="F13" s="9" t="s">
        <v>364</v>
      </c>
    </row>
    <row r="14" spans="1:6" ht="16" x14ac:dyDescent="0.2">
      <c r="A14" s="8" t="s">
        <v>351</v>
      </c>
      <c r="B14" s="10" t="s">
        <v>272</v>
      </c>
      <c r="C14" s="8" t="s">
        <v>365</v>
      </c>
      <c r="D14" s="8" t="s">
        <v>366</v>
      </c>
      <c r="E14" s="8" t="s">
        <v>367</v>
      </c>
      <c r="F14" s="9" t="s">
        <v>368</v>
      </c>
    </row>
    <row r="15" spans="1:6" ht="32" x14ac:dyDescent="0.2">
      <c r="A15" s="8" t="s">
        <v>369</v>
      </c>
      <c r="B15" s="10" t="s">
        <v>348</v>
      </c>
      <c r="C15" s="8" t="s">
        <v>370</v>
      </c>
      <c r="D15" s="8" t="s">
        <v>350</v>
      </c>
      <c r="E15" s="8" t="s">
        <v>331</v>
      </c>
      <c r="F15" s="9" t="s">
        <v>186</v>
      </c>
    </row>
    <row r="16" spans="1:6" ht="16" x14ac:dyDescent="0.2">
      <c r="A16" s="8" t="s">
        <v>82</v>
      </c>
      <c r="B16" s="10" t="s">
        <v>180</v>
      </c>
      <c r="C16" s="8" t="s">
        <v>371</v>
      </c>
      <c r="D16" s="8" t="s">
        <v>372</v>
      </c>
      <c r="E16" s="8" t="s">
        <v>331</v>
      </c>
      <c r="F16" s="9" t="s">
        <v>373</v>
      </c>
    </row>
    <row r="17" spans="1:6" ht="16" x14ac:dyDescent="0.2">
      <c r="A17" s="8" t="s">
        <v>82</v>
      </c>
      <c r="B17" s="10" t="s">
        <v>57</v>
      </c>
      <c r="C17" s="8" t="s">
        <v>374</v>
      </c>
      <c r="D17" s="8" t="s">
        <v>375</v>
      </c>
      <c r="E17" s="8" t="s">
        <v>331</v>
      </c>
      <c r="F17" s="9" t="s">
        <v>373</v>
      </c>
    </row>
    <row r="18" spans="1:6" ht="16" x14ac:dyDescent="0.2">
      <c r="A18" s="8" t="s">
        <v>82</v>
      </c>
      <c r="B18" s="10" t="s">
        <v>57</v>
      </c>
      <c r="C18" s="8" t="s">
        <v>376</v>
      </c>
      <c r="D18" s="8" t="s">
        <v>377</v>
      </c>
      <c r="E18" s="8" t="s">
        <v>378</v>
      </c>
      <c r="F18" s="9" t="s">
        <v>379</v>
      </c>
    </row>
    <row r="19" spans="1:6" ht="32" x14ac:dyDescent="0.2">
      <c r="A19" s="8" t="s">
        <v>82</v>
      </c>
      <c r="B19" s="10" t="s">
        <v>272</v>
      </c>
      <c r="C19" s="8" t="s">
        <v>380</v>
      </c>
      <c r="D19" s="8" t="s">
        <v>381</v>
      </c>
      <c r="E19" s="8" t="s">
        <v>382</v>
      </c>
      <c r="F19" s="9" t="s">
        <v>383</v>
      </c>
    </row>
    <row r="20" spans="1:6" ht="16" x14ac:dyDescent="0.2">
      <c r="A20" s="8" t="s">
        <v>82</v>
      </c>
      <c r="B20" s="10" t="s">
        <v>348</v>
      </c>
      <c r="C20" s="8" t="s">
        <v>384</v>
      </c>
      <c r="D20" s="8" t="s">
        <v>377</v>
      </c>
      <c r="E20" s="8" t="s">
        <v>385</v>
      </c>
      <c r="F20" s="9" t="s">
        <v>386</v>
      </c>
    </row>
    <row r="21" spans="1:6" ht="16" x14ac:dyDescent="0.2">
      <c r="A21" s="8" t="s">
        <v>387</v>
      </c>
      <c r="B21" s="10" t="s">
        <v>180</v>
      </c>
      <c r="C21" s="8" t="s">
        <v>388</v>
      </c>
      <c r="D21" s="8" t="s">
        <v>389</v>
      </c>
      <c r="E21" s="8" t="s">
        <v>331</v>
      </c>
      <c r="F21" s="9" t="s">
        <v>390</v>
      </c>
    </row>
    <row r="22" spans="1:6" ht="16" x14ac:dyDescent="0.2">
      <c r="A22" s="8" t="s">
        <v>387</v>
      </c>
      <c r="B22" s="10" t="s">
        <v>180</v>
      </c>
      <c r="C22" s="8" t="s">
        <v>391</v>
      </c>
      <c r="D22" s="8" t="s">
        <v>392</v>
      </c>
      <c r="E22" s="8" t="s">
        <v>335</v>
      </c>
      <c r="F22" s="9" t="s">
        <v>393</v>
      </c>
    </row>
    <row r="23" spans="1:6" ht="32" x14ac:dyDescent="0.2">
      <c r="A23" s="8" t="s">
        <v>387</v>
      </c>
      <c r="B23" s="10" t="s">
        <v>57</v>
      </c>
      <c r="C23" s="8" t="s">
        <v>394</v>
      </c>
      <c r="D23" s="8" t="s">
        <v>395</v>
      </c>
      <c r="E23" s="8" t="s">
        <v>382</v>
      </c>
      <c r="F23" s="9" t="s">
        <v>383</v>
      </c>
    </row>
    <row r="24" spans="1:6" ht="32" x14ac:dyDescent="0.2">
      <c r="A24" s="8" t="s">
        <v>387</v>
      </c>
      <c r="B24" s="10" t="s">
        <v>272</v>
      </c>
      <c r="C24" s="8" t="s">
        <v>396</v>
      </c>
      <c r="D24" s="8" t="s">
        <v>397</v>
      </c>
      <c r="E24" s="8" t="s">
        <v>398</v>
      </c>
      <c r="F24" s="9" t="s">
        <v>399</v>
      </c>
    </row>
    <row r="25" spans="1:6" ht="16" x14ac:dyDescent="0.2">
      <c r="A25" s="8" t="s">
        <v>400</v>
      </c>
      <c r="B25" s="10" t="s">
        <v>180</v>
      </c>
      <c r="C25" s="8" t="s">
        <v>401</v>
      </c>
      <c r="D25" s="8" t="s">
        <v>372</v>
      </c>
      <c r="E25" s="8" t="s">
        <v>331</v>
      </c>
      <c r="F25" s="9" t="s">
        <v>186</v>
      </c>
    </row>
    <row r="26" spans="1:6" ht="16" x14ac:dyDescent="0.2">
      <c r="A26" s="8" t="s">
        <v>400</v>
      </c>
      <c r="B26" s="10" t="s">
        <v>57</v>
      </c>
      <c r="C26" s="8" t="s">
        <v>402</v>
      </c>
      <c r="D26" s="8" t="s">
        <v>403</v>
      </c>
      <c r="E26" s="8" t="s">
        <v>382</v>
      </c>
      <c r="F26" s="9" t="s">
        <v>383</v>
      </c>
    </row>
    <row r="27" spans="1:6" ht="16" x14ac:dyDescent="0.2">
      <c r="A27" s="8" t="s">
        <v>400</v>
      </c>
      <c r="B27" s="10" t="s">
        <v>272</v>
      </c>
      <c r="C27" s="8" t="s">
        <v>404</v>
      </c>
      <c r="D27" s="8" t="s">
        <v>405</v>
      </c>
      <c r="E27" s="8" t="s">
        <v>382</v>
      </c>
      <c r="F27" s="9" t="s">
        <v>406</v>
      </c>
    </row>
    <row r="28" spans="1:6" ht="16" x14ac:dyDescent="0.2">
      <c r="A28" s="8" t="s">
        <v>407</v>
      </c>
      <c r="B28" s="10" t="s">
        <v>180</v>
      </c>
      <c r="C28" s="8" t="s">
        <v>408</v>
      </c>
      <c r="D28" s="8" t="s">
        <v>389</v>
      </c>
      <c r="E28" s="8" t="s">
        <v>331</v>
      </c>
      <c r="F28" s="9" t="s">
        <v>186</v>
      </c>
    </row>
    <row r="29" spans="1:6" ht="32" x14ac:dyDescent="0.2">
      <c r="A29" s="8" t="s">
        <v>407</v>
      </c>
      <c r="B29" s="10" t="s">
        <v>57</v>
      </c>
      <c r="C29" s="8" t="s">
        <v>409</v>
      </c>
      <c r="D29" s="8" t="s">
        <v>410</v>
      </c>
      <c r="E29" s="8" t="s">
        <v>411</v>
      </c>
      <c r="F29" s="9" t="s">
        <v>355</v>
      </c>
    </row>
    <row r="30" spans="1:6" ht="32" x14ac:dyDescent="0.2">
      <c r="A30" s="8" t="s">
        <v>407</v>
      </c>
      <c r="B30" s="10" t="s">
        <v>272</v>
      </c>
      <c r="C30" s="8" t="s">
        <v>412</v>
      </c>
      <c r="D30" s="8" t="s">
        <v>413</v>
      </c>
      <c r="E30" s="8" t="s">
        <v>414</v>
      </c>
      <c r="F30" s="9" t="s">
        <v>406</v>
      </c>
    </row>
    <row r="31" spans="1:6" ht="16" x14ac:dyDescent="0.2">
      <c r="A31" s="8" t="s">
        <v>415</v>
      </c>
      <c r="B31" s="10" t="s">
        <v>180</v>
      </c>
      <c r="C31" s="8" t="s">
        <v>416</v>
      </c>
      <c r="D31" s="8" t="s">
        <v>417</v>
      </c>
      <c r="E31" s="8" t="s">
        <v>331</v>
      </c>
      <c r="F31" s="9" t="s">
        <v>418</v>
      </c>
    </row>
    <row r="32" spans="1:6" ht="16" x14ac:dyDescent="0.2">
      <c r="A32" s="8" t="s">
        <v>415</v>
      </c>
      <c r="B32" s="10" t="s">
        <v>57</v>
      </c>
      <c r="C32" s="8" t="s">
        <v>419</v>
      </c>
      <c r="D32" s="8" t="s">
        <v>420</v>
      </c>
      <c r="E32" s="8" t="s">
        <v>331</v>
      </c>
      <c r="F32" s="9" t="s">
        <v>418</v>
      </c>
    </row>
    <row r="33" spans="1:6" ht="28" x14ac:dyDescent="0.2">
      <c r="A33" s="8" t="s">
        <v>415</v>
      </c>
      <c r="B33" s="10" t="s">
        <v>272</v>
      </c>
      <c r="C33" s="8" t="s">
        <v>421</v>
      </c>
      <c r="D33" s="8" t="s">
        <v>422</v>
      </c>
      <c r="E33" s="8" t="s">
        <v>423</v>
      </c>
      <c r="F33" s="9" t="s">
        <v>424</v>
      </c>
    </row>
    <row r="34" spans="1:6" ht="28" x14ac:dyDescent="0.2">
      <c r="A34" s="8" t="s">
        <v>425</v>
      </c>
      <c r="B34" s="10" t="s">
        <v>180</v>
      </c>
      <c r="C34" s="8" t="s">
        <v>426</v>
      </c>
      <c r="D34" s="8" t="s">
        <v>427</v>
      </c>
      <c r="E34" s="8" t="s">
        <v>331</v>
      </c>
      <c r="F34" s="9" t="s">
        <v>428</v>
      </c>
    </row>
    <row r="35" spans="1:6" ht="28" x14ac:dyDescent="0.2">
      <c r="A35" s="8" t="s">
        <v>425</v>
      </c>
      <c r="B35" s="10" t="s">
        <v>57</v>
      </c>
      <c r="C35" s="8" t="s">
        <v>429</v>
      </c>
      <c r="D35" s="8" t="s">
        <v>430</v>
      </c>
      <c r="E35" s="8" t="s">
        <v>331</v>
      </c>
      <c r="F35" s="9" t="s">
        <v>428</v>
      </c>
    </row>
    <row r="36" spans="1:6" ht="16" x14ac:dyDescent="0.2">
      <c r="A36" s="8" t="s">
        <v>119</v>
      </c>
      <c r="B36" s="10" t="s">
        <v>180</v>
      </c>
      <c r="C36" s="8" t="s">
        <v>431</v>
      </c>
      <c r="D36" s="8" t="s">
        <v>432</v>
      </c>
      <c r="E36" s="8" t="s">
        <v>331</v>
      </c>
      <c r="F36" s="9" t="s">
        <v>186</v>
      </c>
    </row>
    <row r="37" spans="1:6" ht="16" x14ac:dyDescent="0.2">
      <c r="A37" s="8" t="s">
        <v>119</v>
      </c>
      <c r="B37" s="10" t="s">
        <v>57</v>
      </c>
      <c r="C37" s="8" t="s">
        <v>433</v>
      </c>
      <c r="D37" s="8" t="s">
        <v>434</v>
      </c>
      <c r="E37" s="8" t="s">
        <v>331</v>
      </c>
      <c r="F37" s="9" t="s">
        <v>186</v>
      </c>
    </row>
    <row r="38" spans="1:6" ht="16" x14ac:dyDescent="0.2">
      <c r="A38" s="8" t="s">
        <v>119</v>
      </c>
      <c r="B38" s="10" t="s">
        <v>272</v>
      </c>
      <c r="C38" s="8" t="s">
        <v>435</v>
      </c>
      <c r="D38" s="8" t="s">
        <v>436</v>
      </c>
      <c r="E38" s="8" t="s">
        <v>437</v>
      </c>
      <c r="F38" s="9" t="s">
        <v>201</v>
      </c>
    </row>
    <row r="39" spans="1:6" ht="16" x14ac:dyDescent="0.2">
      <c r="A39" s="8" t="s">
        <v>438</v>
      </c>
      <c r="B39" s="10" t="s">
        <v>180</v>
      </c>
      <c r="C39" s="8" t="s">
        <v>439</v>
      </c>
      <c r="D39" s="8" t="s">
        <v>427</v>
      </c>
      <c r="E39" s="8" t="s">
        <v>331</v>
      </c>
      <c r="F39" s="9" t="s">
        <v>186</v>
      </c>
    </row>
    <row r="40" spans="1:6" ht="16" x14ac:dyDescent="0.2">
      <c r="A40" s="8" t="s">
        <v>438</v>
      </c>
      <c r="B40" s="10" t="s">
        <v>57</v>
      </c>
      <c r="C40" s="8" t="s">
        <v>440</v>
      </c>
      <c r="D40" s="8" t="s">
        <v>441</v>
      </c>
      <c r="E40" s="8" t="s">
        <v>331</v>
      </c>
      <c r="F40" s="9" t="s">
        <v>186</v>
      </c>
    </row>
    <row r="41" spans="1:6" ht="16" x14ac:dyDescent="0.2">
      <c r="A41" s="8" t="s">
        <v>438</v>
      </c>
      <c r="B41" s="10" t="s">
        <v>272</v>
      </c>
      <c r="C41" s="8" t="s">
        <v>442</v>
      </c>
      <c r="D41" s="8" t="s">
        <v>443</v>
      </c>
      <c r="E41" s="8" t="s">
        <v>444</v>
      </c>
      <c r="F41" s="9" t="s">
        <v>355</v>
      </c>
    </row>
    <row r="42" spans="1:6" ht="32" x14ac:dyDescent="0.2">
      <c r="A42" s="8" t="s">
        <v>445</v>
      </c>
      <c r="B42" s="10" t="s">
        <v>348</v>
      </c>
      <c r="C42" s="8" t="s">
        <v>446</v>
      </c>
      <c r="D42" s="8" t="s">
        <v>303</v>
      </c>
      <c r="E42" s="8" t="s">
        <v>447</v>
      </c>
      <c r="F42" s="9" t="s">
        <v>183</v>
      </c>
    </row>
    <row r="43" spans="1:6" ht="28" x14ac:dyDescent="0.2">
      <c r="A43" s="8" t="s">
        <v>425</v>
      </c>
      <c r="B43" s="10" t="s">
        <v>272</v>
      </c>
      <c r="C43" s="8" t="s">
        <v>448</v>
      </c>
      <c r="D43" s="8" t="s">
        <v>449</v>
      </c>
      <c r="E43" s="8" t="s">
        <v>450</v>
      </c>
      <c r="F43" s="9" t="s">
        <v>424</v>
      </c>
    </row>
  </sheetData>
  <hyperlinks>
    <hyperlink ref="F5" r:id="rId1" xr:uid="{00000000-0004-0000-0500-000000000000}"/>
    <hyperlink ref="F6" r:id="rId2" xr:uid="{00000000-0004-0000-0500-000001000000}"/>
    <hyperlink ref="F7" r:id="rId3" xr:uid="{00000000-0004-0000-0500-000002000000}"/>
    <hyperlink ref="F8" r:id="rId4" xr:uid="{00000000-0004-0000-0500-000003000000}"/>
    <hyperlink ref="F9" r:id="rId5" xr:uid="{00000000-0004-0000-0500-000004000000}"/>
    <hyperlink ref="F10" r:id="rId6" xr:uid="{00000000-0004-0000-0500-000005000000}"/>
    <hyperlink ref="F11" r:id="rId7" xr:uid="{00000000-0004-0000-0500-000006000000}"/>
    <hyperlink ref="F12" r:id="rId8" xr:uid="{00000000-0004-0000-0500-000007000000}"/>
    <hyperlink ref="F13" r:id="rId9" xr:uid="{00000000-0004-0000-0500-000008000000}"/>
    <hyperlink ref="F14" r:id="rId10" xr:uid="{00000000-0004-0000-0500-000009000000}"/>
    <hyperlink ref="F15" r:id="rId11" xr:uid="{00000000-0004-0000-0500-00000A000000}"/>
    <hyperlink ref="F16" r:id="rId12" xr:uid="{00000000-0004-0000-0500-00000B000000}"/>
    <hyperlink ref="F17" r:id="rId13" xr:uid="{00000000-0004-0000-0500-00000C000000}"/>
    <hyperlink ref="F18" r:id="rId14" xr:uid="{00000000-0004-0000-0500-00000D000000}"/>
    <hyperlink ref="F19" r:id="rId15" xr:uid="{00000000-0004-0000-0500-00000E000000}"/>
    <hyperlink ref="F20" r:id="rId16" xr:uid="{00000000-0004-0000-0500-00000F000000}"/>
    <hyperlink ref="F21" r:id="rId17" xr:uid="{00000000-0004-0000-0500-000010000000}"/>
    <hyperlink ref="F22" r:id="rId18" xr:uid="{00000000-0004-0000-0500-000011000000}"/>
    <hyperlink ref="F23" r:id="rId19" xr:uid="{00000000-0004-0000-0500-000012000000}"/>
    <hyperlink ref="F24" r:id="rId20" xr:uid="{00000000-0004-0000-0500-000013000000}"/>
    <hyperlink ref="F25" r:id="rId21" xr:uid="{00000000-0004-0000-0500-000014000000}"/>
    <hyperlink ref="F26" r:id="rId22" xr:uid="{00000000-0004-0000-0500-000015000000}"/>
    <hyperlink ref="F27" r:id="rId23" xr:uid="{00000000-0004-0000-0500-000016000000}"/>
    <hyperlink ref="F28" r:id="rId24" xr:uid="{00000000-0004-0000-0500-000017000000}"/>
    <hyperlink ref="F29" r:id="rId25" xr:uid="{00000000-0004-0000-0500-000018000000}"/>
    <hyperlink ref="F30" r:id="rId26" xr:uid="{00000000-0004-0000-0500-000019000000}"/>
    <hyperlink ref="F31" r:id="rId27" xr:uid="{00000000-0004-0000-0500-00001A000000}"/>
    <hyperlink ref="F32" r:id="rId28" xr:uid="{00000000-0004-0000-0500-00001B000000}"/>
    <hyperlink ref="F33" r:id="rId29" xr:uid="{00000000-0004-0000-0500-00001C000000}"/>
    <hyperlink ref="F34" r:id="rId30" xr:uid="{00000000-0004-0000-0500-00001D000000}"/>
    <hyperlink ref="F35" r:id="rId31" xr:uid="{00000000-0004-0000-0500-00001E000000}"/>
    <hyperlink ref="F36" r:id="rId32" xr:uid="{00000000-0004-0000-0500-00001F000000}"/>
    <hyperlink ref="F37" r:id="rId33" xr:uid="{00000000-0004-0000-0500-000020000000}"/>
    <hyperlink ref="F38" r:id="rId34" xr:uid="{00000000-0004-0000-0500-000021000000}"/>
    <hyperlink ref="F39" r:id="rId35" xr:uid="{00000000-0004-0000-0500-000022000000}"/>
    <hyperlink ref="F40" r:id="rId36" xr:uid="{00000000-0004-0000-0500-000023000000}"/>
    <hyperlink ref="F41" r:id="rId37" xr:uid="{00000000-0004-0000-0500-000024000000}"/>
    <hyperlink ref="F42" r:id="rId38" xr:uid="{00000000-0004-0000-0500-000025000000}"/>
    <hyperlink ref="F43" r:id="rId39" xr:uid="{00000000-0004-0000-0500-000026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zoomScaleNormal="100" workbookViewId="0"/>
  </sheetViews>
  <sheetFormatPr baseColWidth="10" defaultColWidth="8.6640625" defaultRowHeight="15" x14ac:dyDescent="0.2"/>
  <cols>
    <col min="1" max="1" width="36" customWidth="1"/>
    <col min="2" max="2" width="46" customWidth="1"/>
    <col min="3" max="3" width="32" customWidth="1"/>
    <col min="4" max="4" width="60" customWidth="1"/>
    <col min="5" max="5" width="50" customWidth="1"/>
  </cols>
  <sheetData>
    <row r="1" spans="1:5" ht="17" x14ac:dyDescent="0.2">
      <c r="A1" s="2" t="s">
        <v>451</v>
      </c>
    </row>
    <row r="3" spans="1:5" x14ac:dyDescent="0.2">
      <c r="A3" s="3" t="s">
        <v>452</v>
      </c>
      <c r="B3" s="3" t="s">
        <v>453</v>
      </c>
      <c r="C3" s="3" t="s">
        <v>454</v>
      </c>
      <c r="D3" s="3" t="s">
        <v>327</v>
      </c>
      <c r="E3" s="3" t="s">
        <v>455</v>
      </c>
    </row>
    <row r="4" spans="1:5" ht="32" x14ac:dyDescent="0.2">
      <c r="A4" s="8" t="s">
        <v>456</v>
      </c>
      <c r="B4" s="8" t="s">
        <v>457</v>
      </c>
      <c r="C4" s="8" t="s">
        <v>458</v>
      </c>
      <c r="D4" s="9" t="s">
        <v>459</v>
      </c>
      <c r="E4" s="8" t="s">
        <v>460</v>
      </c>
    </row>
    <row r="5" spans="1:5" ht="16" x14ac:dyDescent="0.2">
      <c r="A5" s="8" t="s">
        <v>461</v>
      </c>
      <c r="B5" s="8" t="s">
        <v>462</v>
      </c>
      <c r="C5" s="8" t="s">
        <v>463</v>
      </c>
      <c r="D5" s="9" t="s">
        <v>464</v>
      </c>
      <c r="E5" s="8" t="s">
        <v>465</v>
      </c>
    </row>
    <row r="6" spans="1:5" ht="32" x14ac:dyDescent="0.2">
      <c r="A6" s="8" t="s">
        <v>466</v>
      </c>
      <c r="B6" s="8" t="s">
        <v>467</v>
      </c>
      <c r="C6" s="8" t="s">
        <v>468</v>
      </c>
      <c r="D6" s="9" t="s">
        <v>360</v>
      </c>
      <c r="E6" s="8" t="s">
        <v>469</v>
      </c>
    </row>
    <row r="7" spans="1:5" ht="32" x14ac:dyDescent="0.2">
      <c r="A7" s="8" t="s">
        <v>470</v>
      </c>
      <c r="B7" s="8" t="s">
        <v>471</v>
      </c>
      <c r="C7" s="8" t="s">
        <v>458</v>
      </c>
      <c r="D7" s="9" t="s">
        <v>472</v>
      </c>
      <c r="E7" s="8" t="s">
        <v>473</v>
      </c>
    </row>
    <row r="8" spans="1:5" ht="32" x14ac:dyDescent="0.2">
      <c r="A8" s="8" t="s">
        <v>474</v>
      </c>
      <c r="B8" s="8" t="s">
        <v>475</v>
      </c>
      <c r="C8" s="8" t="s">
        <v>476</v>
      </c>
      <c r="D8" s="9" t="s">
        <v>472</v>
      </c>
      <c r="E8" s="8" t="s">
        <v>477</v>
      </c>
    </row>
    <row r="9" spans="1:5" ht="32" x14ac:dyDescent="0.2">
      <c r="A9" s="8" t="s">
        <v>478</v>
      </c>
      <c r="B9" s="8" t="s">
        <v>479</v>
      </c>
      <c r="C9" s="8" t="s">
        <v>476</v>
      </c>
      <c r="D9" s="9" t="s">
        <v>472</v>
      </c>
      <c r="E9" s="8" t="s">
        <v>480</v>
      </c>
    </row>
  </sheetData>
  <hyperlinks>
    <hyperlink ref="D4" r:id="rId1" xr:uid="{00000000-0004-0000-0600-000000000000}"/>
    <hyperlink ref="D5" r:id="rId2" xr:uid="{00000000-0004-0000-0600-000001000000}"/>
    <hyperlink ref="D6" r:id="rId3" xr:uid="{00000000-0004-0000-0600-000002000000}"/>
    <hyperlink ref="D7" r:id="rId4" xr:uid="{00000000-0004-0000-0600-000003000000}"/>
    <hyperlink ref="D8" r:id="rId5" xr:uid="{00000000-0004-0000-0600-000004000000}"/>
    <hyperlink ref="D9" r:id="rId6" xr:uid="{00000000-0004-0000-0600-000005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9"/>
  <sheetViews>
    <sheetView zoomScaleNormal="100" workbookViewId="0"/>
  </sheetViews>
  <sheetFormatPr baseColWidth="10" defaultColWidth="8.6640625" defaultRowHeight="15" x14ac:dyDescent="0.2"/>
  <cols>
    <col min="1" max="1" width="30" customWidth="1"/>
    <col min="2" max="3" width="60" customWidth="1"/>
    <col min="4" max="4" width="12" customWidth="1"/>
  </cols>
  <sheetData>
    <row r="1" spans="1:4" ht="17" x14ac:dyDescent="0.2">
      <c r="A1" s="2" t="s">
        <v>481</v>
      </c>
    </row>
    <row r="3" spans="1:4" x14ac:dyDescent="0.2">
      <c r="A3" s="3" t="s">
        <v>482</v>
      </c>
      <c r="B3" s="3" t="s">
        <v>483</v>
      </c>
      <c r="C3" s="3" t="s">
        <v>484</v>
      </c>
      <c r="D3" s="3" t="s">
        <v>485</v>
      </c>
    </row>
    <row r="4" spans="1:4" ht="32" x14ac:dyDescent="0.2">
      <c r="A4" s="8" t="s">
        <v>486</v>
      </c>
      <c r="B4" s="8" t="s">
        <v>487</v>
      </c>
      <c r="C4" s="8" t="s">
        <v>488</v>
      </c>
      <c r="D4" s="8" t="s">
        <v>489</v>
      </c>
    </row>
    <row r="5" spans="1:4" ht="16" x14ac:dyDescent="0.2">
      <c r="A5" s="8" t="s">
        <v>490</v>
      </c>
      <c r="B5" s="8" t="s">
        <v>491</v>
      </c>
      <c r="C5" s="8" t="s">
        <v>492</v>
      </c>
      <c r="D5" s="8" t="s">
        <v>489</v>
      </c>
    </row>
    <row r="6" spans="1:4" ht="32" x14ac:dyDescent="0.2">
      <c r="A6" s="8" t="s">
        <v>493</v>
      </c>
      <c r="B6" s="8" t="s">
        <v>494</v>
      </c>
      <c r="C6" s="8" t="s">
        <v>495</v>
      </c>
      <c r="D6" s="8" t="s">
        <v>496</v>
      </c>
    </row>
    <row r="7" spans="1:4" ht="32" x14ac:dyDescent="0.2">
      <c r="A7" s="8" t="s">
        <v>497</v>
      </c>
      <c r="B7" s="8" t="s">
        <v>498</v>
      </c>
      <c r="C7" s="8" t="s">
        <v>499</v>
      </c>
      <c r="D7" s="8" t="s">
        <v>500</v>
      </c>
    </row>
    <row r="8" spans="1:4" ht="32" x14ac:dyDescent="0.2">
      <c r="A8" s="8" t="s">
        <v>501</v>
      </c>
      <c r="B8" s="8" t="s">
        <v>502</v>
      </c>
      <c r="C8" s="8" t="s">
        <v>503</v>
      </c>
      <c r="D8" s="8" t="s">
        <v>504</v>
      </c>
    </row>
    <row r="9" spans="1:4" ht="48" x14ac:dyDescent="0.2">
      <c r="A9" s="8" t="s">
        <v>505</v>
      </c>
      <c r="B9" s="8" t="s">
        <v>506</v>
      </c>
      <c r="C9" s="8" t="s">
        <v>507</v>
      </c>
      <c r="D9" s="8" t="s">
        <v>508</v>
      </c>
    </row>
    <row r="10" spans="1:4" ht="48" x14ac:dyDescent="0.2">
      <c r="A10" s="8" t="s">
        <v>509</v>
      </c>
      <c r="B10" s="8" t="s">
        <v>510</v>
      </c>
      <c r="C10" s="8" t="s">
        <v>511</v>
      </c>
      <c r="D10" s="8" t="s">
        <v>508</v>
      </c>
    </row>
    <row r="11" spans="1:4" ht="16" x14ac:dyDescent="0.2">
      <c r="A11" s="8" t="s">
        <v>512</v>
      </c>
      <c r="B11" s="8" t="s">
        <v>513</v>
      </c>
      <c r="C11" s="8" t="s">
        <v>514</v>
      </c>
      <c r="D11" s="8" t="s">
        <v>515</v>
      </c>
    </row>
    <row r="12" spans="1:4" ht="16" x14ac:dyDescent="0.2">
      <c r="A12" s="8" t="s">
        <v>516</v>
      </c>
      <c r="B12" s="8" t="s">
        <v>517</v>
      </c>
      <c r="C12" s="8" t="s">
        <v>518</v>
      </c>
      <c r="D12" s="8" t="s">
        <v>303</v>
      </c>
    </row>
    <row r="15" spans="1:4" x14ac:dyDescent="0.2">
      <c r="A15" s="7" t="s">
        <v>519</v>
      </c>
    </row>
    <row r="16" spans="1:4" ht="15" customHeight="1" x14ac:dyDescent="0.2">
      <c r="A16" s="1" t="s">
        <v>520</v>
      </c>
      <c r="B16" s="1"/>
      <c r="C16" s="1"/>
      <c r="D16" s="1"/>
    </row>
    <row r="17" spans="1:4" ht="15" customHeight="1" x14ac:dyDescent="0.2">
      <c r="A17" s="1" t="s">
        <v>521</v>
      </c>
      <c r="B17" s="1"/>
      <c r="C17" s="1"/>
      <c r="D17" s="1"/>
    </row>
    <row r="18" spans="1:4" ht="15" customHeight="1" x14ac:dyDescent="0.2">
      <c r="A18" s="1" t="s">
        <v>522</v>
      </c>
      <c r="B18" s="1"/>
      <c r="C18" s="1"/>
      <c r="D18" s="1"/>
    </row>
    <row r="19" spans="1:4" ht="15" customHeight="1" x14ac:dyDescent="0.2">
      <c r="A19" s="1" t="s">
        <v>523</v>
      </c>
      <c r="B19" s="1"/>
      <c r="C19" s="1"/>
      <c r="D19" s="1"/>
    </row>
    <row r="20" spans="1:4" ht="15" customHeight="1" x14ac:dyDescent="0.2">
      <c r="A20" s="1" t="s">
        <v>524</v>
      </c>
      <c r="B20" s="1"/>
      <c r="C20" s="1"/>
      <c r="D20" s="1"/>
    </row>
    <row r="21" spans="1:4" ht="15" customHeight="1" x14ac:dyDescent="0.2">
      <c r="A21" s="1" t="s">
        <v>525</v>
      </c>
      <c r="B21" s="1"/>
      <c r="C21" s="1"/>
      <c r="D21" s="1"/>
    </row>
    <row r="23" spans="1:4" x14ac:dyDescent="0.2">
      <c r="A23" s="7" t="s">
        <v>526</v>
      </c>
    </row>
    <row r="24" spans="1:4" ht="15" customHeight="1" x14ac:dyDescent="0.2">
      <c r="A24" s="1" t="s">
        <v>527</v>
      </c>
      <c r="B24" s="1"/>
      <c r="C24" s="1"/>
      <c r="D24" s="1"/>
    </row>
    <row r="25" spans="1:4" ht="15" customHeight="1" x14ac:dyDescent="0.2">
      <c r="A25" s="1" t="s">
        <v>528</v>
      </c>
      <c r="B25" s="1"/>
      <c r="C25" s="1"/>
      <c r="D25" s="1"/>
    </row>
    <row r="26" spans="1:4" ht="15" customHeight="1" x14ac:dyDescent="0.2">
      <c r="A26" s="1" t="s">
        <v>529</v>
      </c>
      <c r="B26" s="1"/>
      <c r="C26" s="1"/>
      <c r="D26" s="1"/>
    </row>
    <row r="27" spans="1:4" ht="15" customHeight="1" x14ac:dyDescent="0.2">
      <c r="A27" s="1" t="s">
        <v>530</v>
      </c>
      <c r="B27" s="1"/>
      <c r="C27" s="1"/>
      <c r="D27" s="1"/>
    </row>
    <row r="28" spans="1:4" ht="15" customHeight="1" x14ac:dyDescent="0.2">
      <c r="A28" s="1" t="s">
        <v>531</v>
      </c>
      <c r="B28" s="1"/>
      <c r="C28" s="1"/>
      <c r="D28" s="1"/>
    </row>
    <row r="29" spans="1:4" ht="15" customHeight="1" x14ac:dyDescent="0.2">
      <c r="A29" s="1" t="s">
        <v>532</v>
      </c>
      <c r="B29" s="1"/>
      <c r="C29" s="1"/>
      <c r="D29" s="1"/>
    </row>
  </sheetData>
  <mergeCells count="12">
    <mergeCell ref="A28:D28"/>
    <mergeCell ref="A29:D29"/>
    <mergeCell ref="A21:D21"/>
    <mergeCell ref="A24:D24"/>
    <mergeCell ref="A25:D25"/>
    <mergeCell ref="A26:D26"/>
    <mergeCell ref="A27:D27"/>
    <mergeCell ref="A16:D16"/>
    <mergeCell ref="A17:D17"/>
    <mergeCell ref="A18:D18"/>
    <mergeCell ref="A19:D19"/>
    <mergeCell ref="A20:D2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Параметры</vt:lpstr>
      <vt:lpstr>1_Ремонт</vt:lpstr>
      <vt:lpstr>2_Заезд</vt:lpstr>
      <vt:lpstr>3_Саммари</vt:lpstr>
      <vt:lpstr>Планировка</vt:lpstr>
      <vt:lpstr>Закупка_ссылки</vt:lpstr>
      <vt:lpstr>Работы_подрядчики</vt:lpstr>
      <vt:lpstr>Видео_и_порядок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 Guzoev</cp:lastModifiedBy>
  <cp:revision>1</cp:revision>
  <dcterms:created xsi:type="dcterms:W3CDTF">2026-09-11T08:46:06Z</dcterms:created>
  <dcterms:modified xsi:type="dcterms:W3CDTF">2026-09-11T09:06:04Z</dcterms:modified>
  <dc:language>en-US</dc:language>
</cp:coreProperties>
</file>