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bertguzoev/Desktop/files/"/>
    </mc:Choice>
  </mc:AlternateContent>
  <xr:revisionPtr revIDLastSave="0" documentId="13_ncr:1_{005BB515-96A1-8746-9421-42EE56563720}" xr6:coauthVersionLast="47" xr6:coauthVersionMax="47" xr10:uidLastSave="{00000000-0000-0000-0000-000000000000}"/>
  <bookViews>
    <workbookView xWindow="0" yWindow="600" windowWidth="27960" windowHeight="15180" tabRatio="500" xr2:uid="{00000000-000D-0000-FFFF-FFFF00000000}"/>
  </bookViews>
  <sheets>
    <sheet name="Параметры" sheetId="1" r:id="rId1"/>
    <sheet name="1_Ремонт" sheetId="2" r:id="rId2"/>
    <sheet name="2_Заезд" sheetId="3" r:id="rId3"/>
    <sheet name="3_Саммари" sheetId="4" r:id="rId4"/>
    <sheet name="Планировка" sheetId="5" r:id="rId5"/>
    <sheet name="Закупка_ссылки" sheetId="6" r:id="rId6"/>
    <sheet name="Работы_подрядчики" sheetId="7" r:id="rId7"/>
    <sheet name="Видео_и_порядок" sheetId="8" r:id="rId8"/>
    <sheet name="Ссылки_по_позициям" sheetId="9" r:id="rId100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4" i="2" l="1"/>
  <c r="N74" i="2"/>
  <c r="C11" i="5"/>
  <c r="B11" i="5"/>
  <c r="E72" i="3"/>
  <c r="O60" i="3"/>
  <c r="K60" i="3"/>
  <c r="I60" i="3"/>
  <c r="G60" i="3"/>
  <c r="K59" i="3"/>
  <c r="I59" i="3"/>
  <c r="O59" i="3" s="1"/>
  <c r="G59" i="3"/>
  <c r="O58" i="3"/>
  <c r="K58" i="3"/>
  <c r="I58" i="3"/>
  <c r="G58" i="3"/>
  <c r="K57" i="3"/>
  <c r="K68" i="3" s="1"/>
  <c r="K70" i="3" s="1"/>
  <c r="D11" i="4" s="1"/>
  <c r="I57" i="3"/>
  <c r="O57" i="3" s="1"/>
  <c r="G57" i="3"/>
  <c r="K56" i="3"/>
  <c r="I56" i="3"/>
  <c r="I68" i="3" s="1"/>
  <c r="I70" i="3" s="1"/>
  <c r="C11" i="4" s="1"/>
  <c r="G56" i="3"/>
  <c r="G68" i="3" s="1"/>
  <c r="G70" i="3" s="1"/>
  <c r="O54" i="3"/>
  <c r="K54" i="3"/>
  <c r="I54" i="3"/>
  <c r="G54" i="3"/>
  <c r="O53" i="3"/>
  <c r="K53" i="3"/>
  <c r="I53" i="3"/>
  <c r="G53" i="3"/>
  <c r="O52" i="3"/>
  <c r="K52" i="3"/>
  <c r="I52" i="3"/>
  <c r="G52" i="3"/>
  <c r="O51" i="3"/>
  <c r="K51" i="3"/>
  <c r="I51" i="3"/>
  <c r="G51" i="3"/>
  <c r="K50" i="3"/>
  <c r="I50" i="3"/>
  <c r="O50" i="3" s="1"/>
  <c r="G50" i="3"/>
  <c r="O49" i="3"/>
  <c r="K49" i="3"/>
  <c r="I49" i="3"/>
  <c r="G49" i="3"/>
  <c r="G67" i="3" s="1"/>
  <c r="O48" i="3"/>
  <c r="O67" i="3" s="1"/>
  <c r="K48" i="3"/>
  <c r="K67" i="3" s="1"/>
  <c r="I48" i="3"/>
  <c r="I67" i="3" s="1"/>
  <c r="G48" i="3"/>
  <c r="O46" i="3"/>
  <c r="K46" i="3"/>
  <c r="I46" i="3"/>
  <c r="G46" i="3"/>
  <c r="O45" i="3"/>
  <c r="K45" i="3"/>
  <c r="I45" i="3"/>
  <c r="G45" i="3"/>
  <c r="O44" i="3"/>
  <c r="K44" i="3"/>
  <c r="I44" i="3"/>
  <c r="G44" i="3"/>
  <c r="O43" i="3"/>
  <c r="K43" i="3"/>
  <c r="I43" i="3"/>
  <c r="G43" i="3"/>
  <c r="O42" i="3"/>
  <c r="K42" i="3"/>
  <c r="I42" i="3"/>
  <c r="G42" i="3"/>
  <c r="O41" i="3"/>
  <c r="K41" i="3"/>
  <c r="I41" i="3"/>
  <c r="G41" i="3"/>
  <c r="O40" i="3"/>
  <c r="K40" i="3"/>
  <c r="I40" i="3"/>
  <c r="G40" i="3"/>
  <c r="K39" i="3"/>
  <c r="I39" i="3"/>
  <c r="O39" i="3" s="1"/>
  <c r="G39" i="3"/>
  <c r="O38" i="3"/>
  <c r="O66" i="3" s="1"/>
  <c r="K38" i="3"/>
  <c r="K66" i="3" s="1"/>
  <c r="I38" i="3"/>
  <c r="I66" i="3" s="1"/>
  <c r="G38" i="3"/>
  <c r="G66" i="3" s="1"/>
  <c r="O36" i="3"/>
  <c r="K36" i="3"/>
  <c r="I36" i="3"/>
  <c r="G36" i="3"/>
  <c r="O35" i="3"/>
  <c r="K35" i="3"/>
  <c r="I35" i="3"/>
  <c r="G35" i="3"/>
  <c r="O34" i="3"/>
  <c r="K34" i="3"/>
  <c r="I34" i="3"/>
  <c r="G34" i="3"/>
  <c r="O33" i="3"/>
  <c r="K33" i="3"/>
  <c r="I33" i="3"/>
  <c r="G33" i="3"/>
  <c r="O32" i="3"/>
  <c r="K32" i="3"/>
  <c r="I32" i="3"/>
  <c r="G32" i="3"/>
  <c r="O31" i="3"/>
  <c r="K31" i="3"/>
  <c r="I31" i="3"/>
  <c r="G31" i="3"/>
  <c r="K30" i="3"/>
  <c r="K65" i="3" s="1"/>
  <c r="I30" i="3"/>
  <c r="O30" i="3" s="1"/>
  <c r="G30" i="3"/>
  <c r="K29" i="3"/>
  <c r="I29" i="3"/>
  <c r="O29" i="3" s="1"/>
  <c r="G29" i="3"/>
  <c r="G65" i="3" s="1"/>
  <c r="O28" i="3"/>
  <c r="K28" i="3"/>
  <c r="I28" i="3"/>
  <c r="I65" i="3" s="1"/>
  <c r="G28" i="3"/>
  <c r="O26" i="3"/>
  <c r="K26" i="3"/>
  <c r="I26" i="3"/>
  <c r="G26" i="3"/>
  <c r="O25" i="3"/>
  <c r="K25" i="3"/>
  <c r="I25" i="3"/>
  <c r="G25" i="3"/>
  <c r="O24" i="3"/>
  <c r="K24" i="3"/>
  <c r="I24" i="3"/>
  <c r="G24" i="3"/>
  <c r="O23" i="3"/>
  <c r="K23" i="3"/>
  <c r="I23" i="3"/>
  <c r="G23" i="3"/>
  <c r="O22" i="3"/>
  <c r="K22" i="3"/>
  <c r="I22" i="3"/>
  <c r="G22" i="3"/>
  <c r="O21" i="3"/>
  <c r="K21" i="3"/>
  <c r="I21" i="3"/>
  <c r="G21" i="3"/>
  <c r="K20" i="3"/>
  <c r="I20" i="3"/>
  <c r="O20" i="3" s="1"/>
  <c r="G20" i="3"/>
  <c r="O19" i="3"/>
  <c r="O64" i="3" s="1"/>
  <c r="K19" i="3"/>
  <c r="K64" i="3" s="1"/>
  <c r="I19" i="3"/>
  <c r="I64" i="3" s="1"/>
  <c r="G19" i="3"/>
  <c r="G64" i="3" s="1"/>
  <c r="O17" i="3"/>
  <c r="K17" i="3"/>
  <c r="I17" i="3"/>
  <c r="G17" i="3"/>
  <c r="O16" i="3"/>
  <c r="K16" i="3"/>
  <c r="I16" i="3"/>
  <c r="G16" i="3"/>
  <c r="O15" i="3"/>
  <c r="K15" i="3"/>
  <c r="I15" i="3"/>
  <c r="G15" i="3"/>
  <c r="O14" i="3"/>
  <c r="K14" i="3"/>
  <c r="I14" i="3"/>
  <c r="G14" i="3"/>
  <c r="K13" i="3"/>
  <c r="I13" i="3"/>
  <c r="O13" i="3" s="1"/>
  <c r="G13" i="3"/>
  <c r="O12" i="3"/>
  <c r="K12" i="3"/>
  <c r="I12" i="3"/>
  <c r="G12" i="3"/>
  <c r="O11" i="3"/>
  <c r="K11" i="3"/>
  <c r="I11" i="3"/>
  <c r="G11" i="3"/>
  <c r="K10" i="3"/>
  <c r="I10" i="3"/>
  <c r="O10" i="3" s="1"/>
  <c r="G10" i="3"/>
  <c r="K9" i="3"/>
  <c r="I9" i="3"/>
  <c r="O9" i="3" s="1"/>
  <c r="G9" i="3"/>
  <c r="O8" i="3"/>
  <c r="K8" i="3"/>
  <c r="I8" i="3"/>
  <c r="G8" i="3"/>
  <c r="O7" i="3"/>
  <c r="K7" i="3"/>
  <c r="I7" i="3"/>
  <c r="G7" i="3"/>
  <c r="O6" i="3"/>
  <c r="O63" i="3" s="1"/>
  <c r="K6" i="3"/>
  <c r="K63" i="3" s="1"/>
  <c r="I6" i="3"/>
  <c r="I63" i="3" s="1"/>
  <c r="G6" i="3"/>
  <c r="G63" i="3" s="1"/>
  <c r="E84" i="2"/>
  <c r="K71" i="2"/>
  <c r="I71" i="2"/>
  <c r="N71" i="2" s="1"/>
  <c r="G71" i="2"/>
  <c r="N70" i="2"/>
  <c r="K70" i="2"/>
  <c r="I70" i="2"/>
  <c r="G70" i="2"/>
  <c r="E69" i="2"/>
  <c r="K69" i="2" s="1"/>
  <c r="N68" i="2"/>
  <c r="K68" i="2"/>
  <c r="G68" i="2"/>
  <c r="E68" i="2"/>
  <c r="I68" i="2" s="1"/>
  <c r="K67" i="2"/>
  <c r="I67" i="2"/>
  <c r="N67" i="2" s="1"/>
  <c r="G67" i="2"/>
  <c r="G66" i="2"/>
  <c r="E66" i="2"/>
  <c r="K65" i="2"/>
  <c r="I65" i="2"/>
  <c r="N65" i="2" s="1"/>
  <c r="G65" i="2"/>
  <c r="N64" i="2"/>
  <c r="K64" i="2"/>
  <c r="I64" i="2"/>
  <c r="G64" i="2"/>
  <c r="K63" i="2"/>
  <c r="I63" i="2"/>
  <c r="N63" i="2" s="1"/>
  <c r="G63" i="2"/>
  <c r="K62" i="2"/>
  <c r="E62" i="2"/>
  <c r="K61" i="2"/>
  <c r="I61" i="2"/>
  <c r="N61" i="2" s="1"/>
  <c r="G61" i="2"/>
  <c r="K60" i="2"/>
  <c r="I60" i="2"/>
  <c r="N60" i="2" s="1"/>
  <c r="G60" i="2"/>
  <c r="K59" i="2"/>
  <c r="I59" i="2"/>
  <c r="N59" i="2" s="1"/>
  <c r="G59" i="2"/>
  <c r="K58" i="2"/>
  <c r="I58" i="2"/>
  <c r="N58" i="2" s="1"/>
  <c r="G58" i="2"/>
  <c r="K57" i="2"/>
  <c r="I57" i="2"/>
  <c r="N57" i="2" s="1"/>
  <c r="G57" i="2"/>
  <c r="E56" i="2"/>
  <c r="K55" i="2"/>
  <c r="I55" i="2"/>
  <c r="N55" i="2" s="1"/>
  <c r="G55" i="2"/>
  <c r="K54" i="2"/>
  <c r="I54" i="2"/>
  <c r="N54" i="2" s="1"/>
  <c r="G54" i="2"/>
  <c r="K53" i="2"/>
  <c r="I53" i="2"/>
  <c r="N53" i="2" s="1"/>
  <c r="G53" i="2"/>
  <c r="K52" i="2"/>
  <c r="I52" i="2"/>
  <c r="N52" i="2" s="1"/>
  <c r="G52" i="2"/>
  <c r="E51" i="2"/>
  <c r="I51" i="2" s="1"/>
  <c r="N51" i="2" s="1"/>
  <c r="E50" i="2"/>
  <c r="G50" i="2" s="1"/>
  <c r="K49" i="2"/>
  <c r="I49" i="2"/>
  <c r="G49" i="2"/>
  <c r="K47" i="2"/>
  <c r="I47" i="2"/>
  <c r="N47" i="2" s="1"/>
  <c r="G47" i="2"/>
  <c r="E46" i="2"/>
  <c r="I46" i="2" s="1"/>
  <c r="N46" i="2" s="1"/>
  <c r="E45" i="2"/>
  <c r="G45" i="2" s="1"/>
  <c r="K43" i="2"/>
  <c r="I43" i="2"/>
  <c r="N43" i="2" s="1"/>
  <c r="G43" i="2"/>
  <c r="K42" i="2"/>
  <c r="I42" i="2"/>
  <c r="N42" i="2" s="1"/>
  <c r="G42" i="2"/>
  <c r="E41" i="2"/>
  <c r="I41" i="2" s="1"/>
  <c r="K39" i="2"/>
  <c r="I39" i="2"/>
  <c r="N39" i="2" s="1"/>
  <c r="G39" i="2"/>
  <c r="K38" i="2"/>
  <c r="I38" i="2"/>
  <c r="N38" i="2" s="1"/>
  <c r="G38" i="2"/>
  <c r="K37" i="2"/>
  <c r="I37" i="2"/>
  <c r="N37" i="2" s="1"/>
  <c r="G37" i="2"/>
  <c r="E36" i="2"/>
  <c r="G36" i="2" s="1"/>
  <c r="K35" i="2"/>
  <c r="I35" i="2"/>
  <c r="N35" i="2" s="1"/>
  <c r="G35" i="2"/>
  <c r="E35" i="2"/>
  <c r="E34" i="2"/>
  <c r="E33" i="2"/>
  <c r="K33" i="2" s="1"/>
  <c r="N31" i="2"/>
  <c r="K31" i="2"/>
  <c r="I31" i="2"/>
  <c r="G31" i="2"/>
  <c r="K30" i="2"/>
  <c r="I30" i="2"/>
  <c r="N30" i="2" s="1"/>
  <c r="G30" i="2"/>
  <c r="N29" i="2"/>
  <c r="K29" i="2"/>
  <c r="I29" i="2"/>
  <c r="G29" i="2"/>
  <c r="E28" i="2"/>
  <c r="K28" i="2" s="1"/>
  <c r="K27" i="2"/>
  <c r="G27" i="2"/>
  <c r="E27" i="2"/>
  <c r="I27" i="2" s="1"/>
  <c r="N27" i="2" s="1"/>
  <c r="K26" i="2"/>
  <c r="I26" i="2"/>
  <c r="N26" i="2" s="1"/>
  <c r="G26" i="2"/>
  <c r="N25" i="2"/>
  <c r="K25" i="2"/>
  <c r="I25" i="2"/>
  <c r="G25" i="2"/>
  <c r="K24" i="2"/>
  <c r="I24" i="2"/>
  <c r="N24" i="2" s="1"/>
  <c r="G24" i="2"/>
  <c r="K23" i="2"/>
  <c r="I23" i="2"/>
  <c r="N23" i="2" s="1"/>
  <c r="G23" i="2"/>
  <c r="E22" i="2"/>
  <c r="E21" i="2"/>
  <c r="E20" i="2"/>
  <c r="K20" i="2" s="1"/>
  <c r="K19" i="2"/>
  <c r="I19" i="2"/>
  <c r="N19" i="2" s="1"/>
  <c r="G19" i="2"/>
  <c r="E19" i="2"/>
  <c r="K18" i="2"/>
  <c r="I18" i="2"/>
  <c r="G18" i="2"/>
  <c r="N16" i="2"/>
  <c r="K16" i="2"/>
  <c r="I16" i="2"/>
  <c r="G16" i="2"/>
  <c r="E15" i="2"/>
  <c r="K15" i="2" s="1"/>
  <c r="N14" i="2"/>
  <c r="K14" i="2"/>
  <c r="I14" i="2"/>
  <c r="G14" i="2"/>
  <c r="K13" i="2"/>
  <c r="I13" i="2"/>
  <c r="N13" i="2" s="1"/>
  <c r="G13" i="2"/>
  <c r="E12" i="2"/>
  <c r="K10" i="2"/>
  <c r="I10" i="2"/>
  <c r="N10" i="2" s="1"/>
  <c r="G10" i="2"/>
  <c r="E9" i="2"/>
  <c r="G9" i="2" s="1"/>
  <c r="E8" i="2"/>
  <c r="K8" i="2" s="1"/>
  <c r="E7" i="2"/>
  <c r="E6" i="2"/>
  <c r="B11" i="4"/>
  <c r="I36" i="2" l="1"/>
  <c r="N36" i="2" s="1"/>
  <c r="I78" i="2"/>
  <c r="K51" i="2"/>
  <c r="I69" i="2"/>
  <c r="N69" i="2" s="1"/>
  <c r="G8" i="2"/>
  <c r="K41" i="2"/>
  <c r="K46" i="2"/>
  <c r="I45" i="2"/>
  <c r="I15" i="2"/>
  <c r="N15" i="2" s="1"/>
  <c r="I28" i="2"/>
  <c r="N28" i="2" s="1"/>
  <c r="K45" i="2"/>
  <c r="K79" i="2" s="1"/>
  <c r="G51" i="2"/>
  <c r="I8" i="2"/>
  <c r="N8" i="2" s="1"/>
  <c r="I20" i="2"/>
  <c r="N20" i="2" s="1"/>
  <c r="K36" i="2"/>
  <c r="G41" i="2"/>
  <c r="G78" i="2" s="1"/>
  <c r="G46" i="2"/>
  <c r="G79" i="2" s="1"/>
  <c r="I6" i="2"/>
  <c r="N6" i="2" s="1"/>
  <c r="G6" i="2"/>
  <c r="I79" i="2"/>
  <c r="N45" i="2"/>
  <c r="N79" i="2" s="1"/>
  <c r="K6" i="2"/>
  <c r="I21" i="2"/>
  <c r="N21" i="2" s="1"/>
  <c r="G21" i="2"/>
  <c r="K21" i="2"/>
  <c r="K50" i="2"/>
  <c r="K56" i="2"/>
  <c r="I56" i="2"/>
  <c r="N56" i="2" s="1"/>
  <c r="K7" i="2"/>
  <c r="I7" i="2"/>
  <c r="N7" i="2" s="1"/>
  <c r="N18" i="2"/>
  <c r="K22" i="2"/>
  <c r="I22" i="2"/>
  <c r="N22" i="2" s="1"/>
  <c r="K78" i="2"/>
  <c r="G7" i="2"/>
  <c r="I9" i="2"/>
  <c r="N9" i="2" s="1"/>
  <c r="I12" i="2"/>
  <c r="G12" i="2"/>
  <c r="G22" i="2"/>
  <c r="G76" i="2" s="1"/>
  <c r="K34" i="2"/>
  <c r="K77" i="2" s="1"/>
  <c r="I34" i="2"/>
  <c r="N34" i="2" s="1"/>
  <c r="N41" i="2"/>
  <c r="N78" i="2" s="1"/>
  <c r="N49" i="2"/>
  <c r="I69" i="3"/>
  <c r="O65" i="3"/>
  <c r="O69" i="3" s="1"/>
  <c r="I33" i="2"/>
  <c r="G33" i="2"/>
  <c r="G56" i="2"/>
  <c r="G69" i="3"/>
  <c r="K9" i="2"/>
  <c r="K12" i="2"/>
  <c r="K75" i="2" s="1"/>
  <c r="G34" i="2"/>
  <c r="I62" i="2"/>
  <c r="N62" i="2" s="1"/>
  <c r="G62" i="2"/>
  <c r="K66" i="2"/>
  <c r="K80" i="2" s="1"/>
  <c r="K82" i="2" s="1"/>
  <c r="D6" i="4" s="1"/>
  <c r="D16" i="4" s="1"/>
  <c r="I66" i="2"/>
  <c r="N66" i="2" s="1"/>
  <c r="K69" i="3"/>
  <c r="I50" i="2"/>
  <c r="N50" i="2" s="1"/>
  <c r="G15" i="2"/>
  <c r="G20" i="2"/>
  <c r="G28" i="2"/>
  <c r="G69" i="2"/>
  <c r="O56" i="3"/>
  <c r="O68" i="3" s="1"/>
  <c r="O70" i="3" s="1"/>
  <c r="E11" i="4" s="1"/>
  <c r="K83" i="2" l="1"/>
  <c r="G80" i="2"/>
  <c r="G82" i="2" s="1"/>
  <c r="B6" i="4" s="1"/>
  <c r="B16" i="4" s="1"/>
  <c r="I76" i="2"/>
  <c r="K76" i="2"/>
  <c r="K81" i="2" s="1"/>
  <c r="D5" i="4" s="1"/>
  <c r="G74" i="2"/>
  <c r="O71" i="3"/>
  <c r="E10" i="4"/>
  <c r="G77" i="2"/>
  <c r="N33" i="2"/>
  <c r="N77" i="2" s="1"/>
  <c r="I77" i="2"/>
  <c r="G71" i="3"/>
  <c r="B10" i="4"/>
  <c r="I71" i="3"/>
  <c r="C10" i="4"/>
  <c r="I74" i="2"/>
  <c r="N80" i="2"/>
  <c r="N82" i="2" s="1"/>
  <c r="E6" i="4" s="1"/>
  <c r="E16" i="4" s="1"/>
  <c r="G75" i="2"/>
  <c r="K71" i="3"/>
  <c r="D10" i="4"/>
  <c r="I80" i="2"/>
  <c r="I82" i="2" s="1"/>
  <c r="C6" i="4" s="1"/>
  <c r="C16" i="4" s="1"/>
  <c r="I75" i="2"/>
  <c r="N12" i="2"/>
  <c r="N75" i="2" s="1"/>
  <c r="N76" i="2"/>
  <c r="K72" i="3" l="1"/>
  <c r="D12" i="4" s="1"/>
  <c r="K73" i="3"/>
  <c r="D13" i="4" s="1"/>
  <c r="N83" i="2"/>
  <c r="N81" i="2"/>
  <c r="G83" i="2"/>
  <c r="G81" i="2"/>
  <c r="B5" i="4" s="1"/>
  <c r="B15" i="4" s="1"/>
  <c r="I81" i="2"/>
  <c r="C5" i="4" s="1"/>
  <c r="C15" i="4" s="1"/>
  <c r="I83" i="2"/>
  <c r="D15" i="4"/>
  <c r="K84" i="2"/>
  <c r="D7" i="4" s="1"/>
  <c r="D17" i="4" s="1"/>
  <c r="I72" i="3"/>
  <c r="C12" i="4" s="1"/>
  <c r="G72" i="3"/>
  <c r="B12" i="4" s="1"/>
  <c r="G73" i="3"/>
  <c r="B13" i="4" s="1"/>
  <c r="O72" i="3"/>
  <c r="E12" i="4" s="1"/>
  <c r="O73" i="3"/>
  <c r="E13" i="4" s="1"/>
  <c r="E5" i="4" l="1"/>
  <c r="E15" i="4" s="1"/>
  <c r="G84" i="2"/>
  <c r="B7" i="4" s="1"/>
  <c r="B17" i="4" s="1"/>
  <c r="K85" i="2"/>
  <c r="N84" i="2"/>
  <c r="E7" i="4" s="1"/>
  <c r="E17" i="4" s="1"/>
  <c r="I84" i="2"/>
  <c r="C7" i="4" s="1"/>
  <c r="C17" i="4" s="1"/>
  <c r="I73" i="3"/>
  <c r="C13" i="4" s="1"/>
  <c r="N85" i="2" l="1"/>
  <c r="E8" i="4" s="1"/>
  <c r="E18" i="4" s="1"/>
  <c r="G85" i="2"/>
  <c r="G86" i="2" s="1"/>
  <c r="N86" i="2"/>
  <c r="K86" i="2"/>
  <c r="D8" i="4"/>
  <c r="D18" i="4" s="1"/>
  <c r="I85" i="2"/>
  <c r="B8" i="4" l="1"/>
  <c r="B18" i="4" s="1"/>
  <c r="B20" i="4" s="1"/>
  <c r="B19" i="4"/>
  <c r="D20" i="4"/>
  <c r="D19" i="4"/>
  <c r="I86" i="2"/>
  <c r="C8" i="4"/>
  <c r="C18" i="4" s="1"/>
  <c r="E19" i="4"/>
  <c r="E20" i="4"/>
  <c r="C20" i="4" l="1"/>
  <c r="C19" i="4"/>
</calcChain>
</file>

<file path=xl/sharedStrings.xml><?xml version="1.0" encoding="utf-8"?>
<sst xmlns="http://schemas.openxmlformats.org/spreadsheetml/2006/main" count="1045" uniqueCount="533">
  <si>
    <t>ПАРАМЕТРЫ ОБЪЕКТА (редактируйте синие ячейки на жёлтом фоне)</t>
  </si>
  <si>
    <t>Параметр</t>
  </si>
  <si>
    <t>Значение</t>
  </si>
  <si>
    <t>Комментарий</t>
  </si>
  <si>
    <t>Общая площадь квартиры, м² (с лоджией)</t>
  </si>
  <si>
    <t>по плану кв. 312: жилая 25.4 / общая 52.4 / с лоджией 55.1</t>
  </si>
  <si>
    <t>Площадь пола под ламинат/SPC, м²</t>
  </si>
  <si>
    <t>спальня 11.7 + гостиная/детская 13.7 + кухня 10.3 + часть прихожей ≈ 6 (у входа — керамогранит, видно на видео)</t>
  </si>
  <si>
    <t>Запас на подрезку, %</t>
  </si>
  <si>
    <t>7% для прямой укладки, 10–12% для диагонали/ёлочки</t>
  </si>
  <si>
    <t>Площадь натяжных потолков, м²</t>
  </si>
  <si>
    <t>по плану: 13.7+11.7+10.3+11.8+2.8+2.1 (лоджия не считается)</t>
  </si>
  <si>
    <t>Периметр плинтуса, п.м</t>
  </si>
  <si>
    <t>спальня ≈14 + детская ≈15 + кухня-гостиная ≈21 п.м</t>
  </si>
  <si>
    <t>Розетки, шт</t>
  </si>
  <si>
    <t>типовая 2-комн. 55 м²: кухня 8–10, комнаты 6–8 каждая, коридор 2, санузлы 2</t>
  </si>
  <si>
    <t>Выключатели, шт</t>
  </si>
  <si>
    <t>Рамки, шт</t>
  </si>
  <si>
    <t>часть розеток блоками по 2–3 в одной рамке</t>
  </si>
  <si>
    <t>Точки света на потолке, шт</t>
  </si>
  <si>
    <t>точечные/трек + люстры; уточнить по вашему плану</t>
  </si>
  <si>
    <t>Санузлов, шт</t>
  </si>
  <si>
    <t>по видео: №1 с унитазом и колонкой, №2 с душевым подиумом</t>
  </si>
  <si>
    <t>Раковин, шт</t>
  </si>
  <si>
    <t>по одной в каждый санузел</t>
  </si>
  <si>
    <t>Площадь стен под обои, м²</t>
  </si>
  <si>
    <t>периметр ≈ 52 п.м (после сноса стены кухня–прихожая) × h 2.7 = 140 минус окна и проёмы ≈ 20; санузлы в плитке</t>
  </si>
  <si>
    <t>Дверей стандартных 800 мм, шт</t>
  </si>
  <si>
    <t>спальня, ванная, с/у (кухня — стена снесена, двери нет)</t>
  </si>
  <si>
    <t>Дверей широких (детская, проём расширен), шт</t>
  </si>
  <si>
    <t>двустворчатая или раздвижная — по заметке брата проём сделан широким</t>
  </si>
  <si>
    <t>Резерв на непредвиденное, %</t>
  </si>
  <si>
    <t>рекомендуется 10–15%</t>
  </si>
  <si>
    <t>Легенда:</t>
  </si>
  <si>
    <t>Синий текст на жёлтом — вводные, которые вы меняете. Чёрный — формулы. Зелёный — ссылки на другой лист.</t>
  </si>
  <si>
    <t>Цены — ориентир по Саратову на сентябрь 2026 (Лемана ПРО Саратов, Профком, Сантехника.ру Саратов, Profi.ru Саратов, сайты потолочных компаний). Перед закупкой сверьте по ссылкам на листе «Закупка_ссылки».</t>
  </si>
  <si>
    <t>1. РЕМОНТ: ПОЛ, ПОТОЛКИ, САНТЕХНИКА, ЭЛЕКТРИКА, ОБОИ, ДВЕРИ — 3 ОПЦИИ + РЕАЛ — квартира 55 м², Саратов, сентябрь 2026</t>
  </si>
  <si>
    <t>Цены за единицу (F, H, J) — синие, правьте. Столбец M «Выбор РЕАЛ» — выпадающий список МИН/СРЕД/МАКС для реалистичной сборки, столбец N считает её сумму.</t>
  </si>
  <si>
    <t>№</t>
  </si>
  <si>
    <t>Раздел</t>
  </si>
  <si>
    <t>Позиция</t>
  </si>
  <si>
    <t>Ед.</t>
  </si>
  <si>
    <t>Кол-во</t>
  </si>
  <si>
    <t>Цена МИН</t>
  </si>
  <si>
    <t>Сумма МИН</t>
  </si>
  <si>
    <t>Цена СРЕД</t>
  </si>
  <si>
    <t>Сумма СРЕД</t>
  </si>
  <si>
    <t>Цена МАКС</t>
  </si>
  <si>
    <t>Сумма МАКС</t>
  </si>
  <si>
    <t>Примечание</t>
  </si>
  <si>
    <t>Выбор РЕАЛ</t>
  </si>
  <si>
    <t>Сумма РЕАЛ</t>
  </si>
  <si>
    <t>1. ПОЛ — материалы</t>
  </si>
  <si>
    <t>1. Пол</t>
  </si>
  <si>
    <t>Напольное покрытие (ламинат / SPC)</t>
  </si>
  <si>
    <t>м²</t>
  </si>
  <si>
    <t>МИН: ламинат 32 кл 8 мм · СРЕД: ламинат 33 кл 8–10 мм влагостойкий с фаской · МАКС: SPC-кварцвинил 43 кл 4–5 мм</t>
  </si>
  <si>
    <t>СРЕД</t>
  </si>
  <si>
    <t>Подложка</t>
  </si>
  <si>
    <t>МИН: вспененный ПЭ 2 мм · СРЕД: XPS/Arbiton 3 мм · МАКС: пробка/IXPE 1.5 мм под SPC</t>
  </si>
  <si>
    <t>Плёнка пароизоляция 200 мкм</t>
  </si>
  <si>
    <t>по стяжке обязательно</t>
  </si>
  <si>
    <t>Плинтус напольный</t>
  </si>
  <si>
    <t>п.м</t>
  </si>
  <si>
    <t>МИН: ПВХ с кабель-каналом · СРЕД: МДФ/дюрополимер 80 мм · МАКС: скрытый алюминиевый / дюрополимер под покраску 100 мм</t>
  </si>
  <si>
    <t>Порожки, стыки плитка–ламинат</t>
  </si>
  <si>
    <t>компл</t>
  </si>
  <si>
    <t>у входов в коридор и санузлы (по видео там керамогранит)</t>
  </si>
  <si>
    <t>2. ПОТОЛОК — материалы и потолок «под ключ»</t>
  </si>
  <si>
    <t>2. Потолок</t>
  </si>
  <si>
    <t>Натяжной потолок с монтажом «под ключ»</t>
  </si>
  <si>
    <t>МИН: ПВХ матовый MSD · СРЕД: Bauf/тканевый + теневой профиль · МАКС: тканевый Descor + теневой профиль + парящий/световые линии</t>
  </si>
  <si>
    <t>Закладные (брус/платформы) под люстры, карнизы</t>
  </si>
  <si>
    <t>ставится ДО натяжки</t>
  </si>
  <si>
    <t>Кабель ВВГнг-LS + гофра для потолочных линий</t>
  </si>
  <si>
    <t>Светильники потолочные</t>
  </si>
  <si>
    <t>шт</t>
  </si>
  <si>
    <t>МИН: GX53 накладные · СРЕД: точечные LED + 2 люстры · МАКС: магнитный трек + дизайнерские</t>
  </si>
  <si>
    <t>Ниша ГКЛ под скрытый карниз (материалы)</t>
  </si>
  <si>
    <t>в МИН не делаем — карниз накладной</t>
  </si>
  <si>
    <t>3. САНТЕХНИКА — материалы</t>
  </si>
  <si>
    <t>3. Сантехника</t>
  </si>
  <si>
    <t>Унитаз</t>
  </si>
  <si>
    <t>МИН: компакт Cersanit Trento · СРЕД: безободковый с микролифтом Cersanit City / Roca Gap · МАКС: инсталляция Geberit Duofix + подвесной Geberit iCon/Roca</t>
  </si>
  <si>
    <t>Раковина (умывальник)</t>
  </si>
  <si>
    <t>Смеситель для раковины</t>
  </si>
  <si>
    <t>МИН: Iddis/Esko · СРЕД: Lemark Plus / Grohe BauEdge · МАКС: Hansgrohe Talis / Grohe Essence</t>
  </si>
  <si>
    <t>Сифон + подводки для раковины</t>
  </si>
  <si>
    <t>Тумба под раковину</t>
  </si>
  <si>
    <t>МИН: Sensea/Runo · СРЕД: Aquaton/Style Line · МАКС: Jacob Delafon / Cezares</t>
  </si>
  <si>
    <t>Смеситель для душа + душевая стойка</t>
  </si>
  <si>
    <t>выводы под смеситель на видео готовы (открытый монтаж)</t>
  </si>
  <si>
    <t>Ограждение душевого подиума</t>
  </si>
  <si>
    <t>МИН: штанга + шторка · СРЕД: стекло 8 мм на заказ (Walk-In) · МАКС: стекло 10 мм + дверь, чёрная/латунная фурнитура</t>
  </si>
  <si>
    <t>Гигиенический душ</t>
  </si>
  <si>
    <t>Полотенцесушитель электрический</t>
  </si>
  <si>
    <t>электрический — под него нужна розетка/вывод</t>
  </si>
  <si>
    <t>Зеркало / зеркальный шкаф</t>
  </si>
  <si>
    <t>Вентилятор вытяжной</t>
  </si>
  <si>
    <t>МАКС: Soler&amp;Palau Silent с таймером</t>
  </si>
  <si>
    <t>Аксессуары (держатели, ёршик, крючки, дозатор)</t>
  </si>
  <si>
    <t>Люк ревизионный к колонке/стоякам</t>
  </si>
  <si>
    <t>МАКС: нажимной скрытый под плитку</t>
  </si>
  <si>
    <t>Расходники (краны, гибкая подводка, ФУМ, силикон)</t>
  </si>
  <si>
    <t>4. ЭЛЕКТРИКА — материалы</t>
  </si>
  <si>
    <t>4. Электрика</t>
  </si>
  <si>
    <t>Розетка (механизм)</t>
  </si>
  <si>
    <t>МИН: Systeme Electric Этюд/Glossa · СРЕД: Werkel / AtlasDesign · МАКС: Legrand Valena Life / Jung / Gira</t>
  </si>
  <si>
    <t>Выключатель (механизм)</t>
  </si>
  <si>
    <t>Рамки</t>
  </si>
  <si>
    <t>Подрозетники</t>
  </si>
  <si>
    <t>если уже вмурованы — поставьте 0</t>
  </si>
  <si>
    <t>Щит в сборе (бокс, автоматы, УЗО/дифы, реле напряжения)</t>
  </si>
  <si>
    <t>МИН: IEK/EKF · СРЕД: Schneider Easy9 / ABB Basic M + реле напряжения · МАКС: ABB S200 / Hager + дифавтоматы + УЗИП</t>
  </si>
  <si>
    <t>Кабель на доделку линий</t>
  </si>
  <si>
    <t>Выделенная линия на электроварочную (ВВГнг 3×6 + автомат 32А + розетка 32А)</t>
  </si>
  <si>
    <t>варочная электрическая — обязательна отдельная линия от щита</t>
  </si>
  <si>
    <t>5. ФИНИШ СТЕН (ОБОИ) — материалы</t>
  </si>
  <si>
    <t>5. Стены</t>
  </si>
  <si>
    <t>Обои</t>
  </si>
  <si>
    <t>МИН: виниловые на флизелине (Лемана, ~1 100 ₽/рулон 5.3 м²) · СРЕД: флизелиновые Erismann/Marburg, под подбор рисунка · МАКС: дизайнерские/текстильные, широкий рулон. Расход ≈ +10% на подбор</t>
  </si>
  <si>
    <t>Клей, грунт, малярные расходники</t>
  </si>
  <si>
    <t>Акцентная стена (краска/панели/декоративка) — зал и детская</t>
  </si>
  <si>
    <t>в МИН не делаем; СРЕД: краска + рейки; МАКС: микроцемент/панели</t>
  </si>
  <si>
    <t>6. ДВЕРИ — материалы, поштучно</t>
  </si>
  <si>
    <t>6. Двери</t>
  </si>
  <si>
    <t>Дверь стандартная 800 мм: полотно + короб + наличники + ручка + петли</t>
  </si>
  <si>
    <t>спальня, ванная, с/у · МИН: ламинированные Лемана · СРЕД: экошпон/ПВХ с врезкой · МАКС: эмаль/шпон, скрытый короб. В санузлы — влагостойкое полотно</t>
  </si>
  <si>
    <t>Дверь широкая в детскую (двустворчатая 1200–1400 или раздвижная): полотна + короб + фурнитура</t>
  </si>
  <si>
    <t>проём расширен — двустворчатая экошпон (СРЕД) или раздвижная в пенале/стеклянная (МАКС). МИН — распашная двустворчатая ламинированная</t>
  </si>
  <si>
    <t>Доборы, порожки, уплотнители</t>
  </si>
  <si>
    <t>доборы нужны при толщине стены &gt; 70 мм</t>
  </si>
  <si>
    <t>7. РАБОТЫ — отдельной статьёй</t>
  </si>
  <si>
    <t>7. Работы</t>
  </si>
  <si>
    <t>Подготовка основания пола (грунт, ровнитель)</t>
  </si>
  <si>
    <t>МАКС: тонкий наливной пол по всей площади</t>
  </si>
  <si>
    <t>Укладка напольного покрытия</t>
  </si>
  <si>
    <t>Profi.ru Саратов: от 200–300 ₽/м²; МАКС — SPC/диагональ</t>
  </si>
  <si>
    <t>Монтаж плинтуса</t>
  </si>
  <si>
    <t>Электрика под потолок (разводка точек света)</t>
  </si>
  <si>
    <t>делается ДО натяжного потолка</t>
  </si>
  <si>
    <t>Ниша ГКЛ под скрытый карниз</t>
  </si>
  <si>
    <t>Монтаж натяжного потолка</t>
  </si>
  <si>
    <t>уже входит в цену «под ключ» в разделе 2</t>
  </si>
  <si>
    <t>Установка унитаза</t>
  </si>
  <si>
    <t>МАКС — с инсталляцией и коробом</t>
  </si>
  <si>
    <t>Установка раковины со смесителем и тумбой</t>
  </si>
  <si>
    <t>Подключение душевого смесителя/стойки</t>
  </si>
  <si>
    <t>Установка полотенцесушителя</t>
  </si>
  <si>
    <t>Установка гигиенического душа</t>
  </si>
  <si>
    <t>Монтаж ограждения душевой</t>
  </si>
  <si>
    <t>у стекольщиков часто входит в цену стекла</t>
  </si>
  <si>
    <t>Люк, вентиляторы, мелкие подключения</t>
  </si>
  <si>
    <t>Установка розеток и выключателей</t>
  </si>
  <si>
    <t>Сборка и подключение щита</t>
  </si>
  <si>
    <t>Монтаж линии на варочную панель</t>
  </si>
  <si>
    <t>Прозвонка, маркировка, проверка линий</t>
  </si>
  <si>
    <t>Поклейка обоев</t>
  </si>
  <si>
    <t>МАКС — обои с подбором/текстиль</t>
  </si>
  <si>
    <t>Акцентная стена (работа)</t>
  </si>
  <si>
    <t>Установка стандартной двери</t>
  </si>
  <si>
    <t>Установка широкой/раздвижной двери</t>
  </si>
  <si>
    <t>Финальная уборка (клининг)</t>
  </si>
  <si>
    <t>Доставка, подъём, вынос мусора</t>
  </si>
  <si>
    <t>ИТОГИ ПО РАЗДЕЛАМ</t>
  </si>
  <si>
    <t>МАТЕРИАЛЫ + ПОТОЛОК + ОБОИ + ДВЕРИ (разделы 1–6)</t>
  </si>
  <si>
    <t>РАБОТЫ (раздел 7)</t>
  </si>
  <si>
    <t>ВСЕГО БЕЗ РЕЗЕРВА</t>
  </si>
  <si>
    <t>Резерв на непредвиденное</t>
  </si>
  <si>
    <t>ИТОГО С РЕЗЕРВОМ</t>
  </si>
  <si>
    <t>Стоимость 1 м² квартиры (с резервом)</t>
  </si>
  <si>
    <t>Входная дверь стоит — не считаем. Кухня, мебель, техника — на листе 2_Заезд. Не учтено: демонтаж/перенос стен (по заметке брата уже сделано), окна, лоджия, стояки.</t>
  </si>
  <si>
    <t>2. ЧТОБЫ ЗАЕХАТЬ: КУХНЯ, СПАЛЬНЯ, ДЕТСКАЯ, ЗАЛ, ПРИХОЖАЯ, ТЕХНИКА — 3 ОПЦИИ</t>
  </si>
  <si>
    <t>Цены (F, H, J) и количество (E) — синие, правьте. Ссылки — столбец M. Столбец N «Выбор РЕАЛ» — выпадающий список МИН/СРЕД/МАКС, столбец O — сумма реалистичной сборки.</t>
  </si>
  <si>
    <t>Где купить</t>
  </si>
  <si>
    <t>К. КУХНЯ</t>
  </si>
  <si>
    <t>Кухня</t>
  </si>
  <si>
    <t>Кухонный гарнитур</t>
  </si>
  <si>
    <t>МИН: модульная Hoff «Амика»/«Барселона» 2.4–3 м или Лемана Delinia · СРЕД: Hoff на заказ (студия планирования в Happy Молл, Саратов) / Лемана на заказ, ЛДСП+МДФ-плёнка · МАКС: фабрика «Мария»</t>
  </si>
  <si>
    <t>https://hoff.ru/catalog/kukhonnye-garnitury/modulnye-kukhonnye-garnitury/</t>
  </si>
  <si>
    <t>МИН</t>
  </si>
  <si>
    <t>Столешница</t>
  </si>
  <si>
    <t>МИН: ЛДСП 28 мм Лемана/Hoff · СРЕД: ЛДСП 38 мм / компакт-плита · МАКС: кварцевый агломерат</t>
  </si>
  <si>
    <t>https://hoff.ru/catalog/kuhnya/kuhonnye_garnitury/</t>
  </si>
  <si>
    <t>Фартук (плитка / стекло / компакт)</t>
  </si>
  <si>
    <t>по видео стена кухни без фартука</t>
  </si>
  <si>
    <t>https://saratov.lemanapro.ru/</t>
  </si>
  <si>
    <t>Мойка + смеситель</t>
  </si>
  <si>
    <t>МИН: нерж. накладная · СРЕД: врезная гранит + Lemark · МАКС: Blanco/Omoikiri + Grohe</t>
  </si>
  <si>
    <t>Варочная панель электрическая (индукция)</t>
  </si>
  <si>
    <t>МИН: Hansa/Weissgauff стеклокерамика · СРЕД: Bosch/Electrolux индукция · МАКС: Bosch Serie 8 / Miele. Нужна отдельная линия 32А — учтена на листе 1_Ремонт</t>
  </si>
  <si>
    <t>https://www.dns-shop.ru/?city=saratov</t>
  </si>
  <si>
    <t>Духовой шкаф</t>
  </si>
  <si>
    <t>Вытяжка</t>
  </si>
  <si>
    <t>Холодильник</t>
  </si>
  <si>
    <t>МИН: Indesit/Atlant · СРЕД: Haier/LG NoFrost · МАКС: Bosch/Liebherr</t>
  </si>
  <si>
    <t>Посудомоечная машина</t>
  </si>
  <si>
    <t>в МИН не берём</t>
  </si>
  <si>
    <t>Микроволновка</t>
  </si>
  <si>
    <t>Обеденный стол + стулья (4 шт)</t>
  </si>
  <si>
    <t>Hoff Саратов — Happy Молл, Вольский тракт 2</t>
  </si>
  <si>
    <t>https://hoff.ru/catalog/mebel/</t>
  </si>
  <si>
    <t>Посуда, кухонная утварь, текстиль</t>
  </si>
  <si>
    <t>С. СПАЛЬНЯ</t>
  </si>
  <si>
    <t>Спальня</t>
  </si>
  <si>
    <t>Кровать 160×200 с основанием</t>
  </si>
  <si>
    <t>МИН: Hoff/Шатура ЛДСП · СРЕД: мягкое изголовье, подъёмный механизм · МАКС: Аскона/массив</t>
  </si>
  <si>
    <t>Матрас 160×200</t>
  </si>
  <si>
    <t>МИН: пружинный · СРЕД: независимые пружины Аскона · МАКС: ортопедический премиум</t>
  </si>
  <si>
    <t>Шкаф для одежды</t>
  </si>
  <si>
    <t>МИН: распашной ЛДСП · СРЕД: купе 2 м · МАКС: встроенный на заказ</t>
  </si>
  <si>
    <t>Прикроватные тумбы</t>
  </si>
  <si>
    <t>Комод</t>
  </si>
  <si>
    <t>Шторы + карниз</t>
  </si>
  <si>
    <t>СРЕД/МАКС — под скрытый карниз в потолке (см. лист 1_Ремонт)</t>
  </si>
  <si>
    <t>Постельное, подушки, одеяло</t>
  </si>
  <si>
    <t>Бра / настольные светильники</t>
  </si>
  <si>
    <t>Д. ДЕТСКАЯ</t>
  </si>
  <si>
    <t>Детская</t>
  </si>
  <si>
    <t>Кровать раздвижная (растущая) 80×130→190</t>
  </si>
  <si>
    <t>МИН: раздвижная ЛДСП Hoff/Шатура · СРЕД: с ящиками и мягким изголовьем (Аскона/Hoff) · МАКС: на заказ / массив. Матрас — тоже раздвижной/секционный</t>
  </si>
  <si>
    <t>Матрас для раздвижной кровати (секционный)</t>
  </si>
  <si>
    <t>секции 80×130 + 80×60 или два матраса</t>
  </si>
  <si>
    <t>Письменный стол + стул</t>
  </si>
  <si>
    <t>СРЕД/МАКС — растущий стол, ортопедический стул</t>
  </si>
  <si>
    <t>Шкаф</t>
  </si>
  <si>
    <t>Стеллаж / полки</t>
  </si>
  <si>
    <t>Ковёр</t>
  </si>
  <si>
    <t>Текстиль (постельное, подушки)</t>
  </si>
  <si>
    <t>Освещение (настольная лампа, ночник)</t>
  </si>
  <si>
    <t>З. ЗАЛ</t>
  </si>
  <si>
    <t>Зал</t>
  </si>
  <si>
    <t>Диван</t>
  </si>
  <si>
    <t>МИН: прямой еврокнижка · СРЕД: угловой с независимым пружинным блоком · МАКС: модульный, ткань antiklaw</t>
  </si>
  <si>
    <t>https://hoff.ru/catalog/gostinaya/divany/</t>
  </si>
  <si>
    <t>Телевизор</t>
  </si>
  <si>
    <t>МИН: 43–50" 4K (Haier/Xiaomi) · СРЕД: 55" 4K (Samsung/LG) · МАКС: 65–75" OLED/QLED</t>
  </si>
  <si>
    <t>https://www.dns-shop.ru/catalog/17a8ae1316404e77/televizory-i-aksessuary/</t>
  </si>
  <si>
    <t>Кронштейн / ТВ-тумба</t>
  </si>
  <si>
    <t>закладная под кронштейн — в стену, не в потолок</t>
  </si>
  <si>
    <t>Журнальный стол</t>
  </si>
  <si>
    <t>Стеллаж / шкаф / стенка</t>
  </si>
  <si>
    <t>Кресло</t>
  </si>
  <si>
    <t>Торшер / бра</t>
  </si>
  <si>
    <t>П. ПРИХОЖАЯ И ОБЩЕЕ</t>
  </si>
  <si>
    <t>Прихожая</t>
  </si>
  <si>
    <t>Шкаф / вешалка + обувница</t>
  </si>
  <si>
    <t>МАКС — встроенный на заказ</t>
  </si>
  <si>
    <t>Зеркало</t>
  </si>
  <si>
    <t>Общее</t>
  </si>
  <si>
    <t>Стиральная машина</t>
  </si>
  <si>
    <t>место — санузел №1 или кухня; нужен вывод воды и розетка</t>
  </si>
  <si>
    <t>Пылесос</t>
  </si>
  <si>
    <t>МАКС — робот + вертикальный</t>
  </si>
  <si>
    <t>Роутер / интернет-подключение</t>
  </si>
  <si>
    <t>Полотенца, коврики в санузлы</t>
  </si>
  <si>
    <t>Утюг, гладильная доска, сушилка</t>
  </si>
  <si>
    <t>Р. РАБОТЫ ПО ОБУСТРОЙСТВУ — отдельной статьёй</t>
  </si>
  <si>
    <t>Работы</t>
  </si>
  <si>
    <t>Сборка и установка кухни, подключение техники</t>
  </si>
  <si>
    <t>у «Марии» и при заказе на фабрике часто входит в цену — уточнить</t>
  </si>
  <si>
    <t>Сборка мебели (кровати, шкафы, детская, зал)</t>
  </si>
  <si>
    <t>Hoff: сборка от 899 ₽ за единицу</t>
  </si>
  <si>
    <t>Навес карнизов, кронштейна ТВ, зеркал, полок</t>
  </si>
  <si>
    <t>Подключение стиральной машины</t>
  </si>
  <si>
    <t>Доставка и подъём мебели и техники</t>
  </si>
  <si>
    <t>ЗАКУПКА (мебель, техника, текстиль)</t>
  </si>
  <si>
    <t>РАБОТЫ ПО ОБУСТРОЙСТВУ</t>
  </si>
  <si>
    <t>Допущения: 1 двуспальная кровать, 1 детская кровать (один ребёнок), варочная панель электрическая (индукция), под неё отдельная линия 32А заложена в 1_Ремонт, стиральная машина одна. Кухня «Мария» — саратовская фабрика, базовые компоновки на сайте от ~150 тыс.; шоу-рум и экскурсия на фабрику в Саратове.</t>
  </si>
  <si>
    <t>3. САММАРИ: СКОЛЬКО ВСЕГО НУЖНО ДЕНЕГ — квартира 55 м², Саратов</t>
  </si>
  <si>
    <t>Все цифры — формулы с листов 1_Ремонт и 2_Заезд. Меняйте цены там — здесь пересчитается.</t>
  </si>
  <si>
    <t>Блок</t>
  </si>
  <si>
    <t>МАКС</t>
  </si>
  <si>
    <t>РЕАЛ (сборка)</t>
  </si>
  <si>
    <t>1. РЕМОНТ — материалы (пол, потолок, сантехника, электрика, обои, двери)</t>
  </si>
  <si>
    <t>включая натяжной потолок «под ключ»</t>
  </si>
  <si>
    <t>1. РЕМОНТ — работы</t>
  </si>
  <si>
    <t>1. РЕМОНТ — резерв</t>
  </si>
  <si>
    <t>процент задаётся на листе Параметры</t>
  </si>
  <si>
    <t>1. РЕМОНТ — ИТОГО</t>
  </si>
  <si>
    <t>лист 1_Ремонт</t>
  </si>
  <si>
    <t>2. ЗАЕЗД — закупка (кухня, мебель, техника, текстиль)</t>
  </si>
  <si>
    <t>2. ЗАЕЗД — работы (сборка, подключение, доставка)</t>
  </si>
  <si>
    <t>2. ЗАЕЗД — резерв</t>
  </si>
  <si>
    <t>2. ЗАЕЗД — ИТОГО</t>
  </si>
  <si>
    <t>лист 2_Заезд</t>
  </si>
  <si>
    <t>ВСЕГО МАТЕРИАЛЫ + ЗАКУПКА</t>
  </si>
  <si>
    <t>ВСЕГО РАБОТЫ</t>
  </si>
  <si>
    <t>ВСЕГО РЕЗЕРВ</t>
  </si>
  <si>
    <t>ОБЩИЙ ИТОГ: РЕМОНТ + ЗАЕЗД</t>
  </si>
  <si>
    <t>с резервом</t>
  </si>
  <si>
    <t>На 1 м² квартиры</t>
  </si>
  <si>
    <t>Доля ремонта в общем итоге</t>
  </si>
  <si>
    <t>РЕАЛ (сборка) — реалистичная колонка: ремонт по СРЕД (обои флизелиновые); заезд — кухня модульная Hoff/Лемана по МИН; холодильник, ПММ, индукция, диван, ТВ, матрасы, детская кровать и стол по СРЕД, остальная мебель и мелкая техника по МИН. Меняется выпадающими списками в столбцах M (1_Ремонт) и N (2_Заезд).</t>
  </si>
  <si>
    <t>Учтено всё до заезда: ремонт (включая обои, двери, уборку) + кухня, мебель, техника. Входная дверь стоит — не считаем. Не учтено: окна, лоджия, стояки.</t>
  </si>
  <si>
    <t>Как пользоваться: 1) Параметры — площади и количества; 2) 1_Ремонт и 2_Заезд — цены под выбранные товары и выбор МИН/СРЕД/МАКС для колонки РЕАЛ; 3) закупка по ссылкам с листов Закупка_ссылки и 2_Заезд (столбец M).</t>
  </si>
  <si>
    <t>ПЛАНИРОВКА ПО ПЛАНУ КВ. 312 (2-комн., 55.1 м²) И ПРАВКИ БРАТА</t>
  </si>
  <si>
    <t>Помещение</t>
  </si>
  <si>
    <t>По плану, м²</t>
  </si>
  <si>
    <t>После правок, м²</t>
  </si>
  <si>
    <t>Назначение в проекте</t>
  </si>
  <si>
    <t>Что изменено</t>
  </si>
  <si>
    <t>Спальня родителей + выход на лоджию</t>
  </si>
  <si>
    <t>—</t>
  </si>
  <si>
    <t>Гостиная</t>
  </si>
  <si>
    <t>ДЕТСКАЯ (изолированная комната, широкий проём — двустворчатая дверь)</t>
  </si>
  <si>
    <t>стена №2 сдвинута в сторону гостиной ≈ на 0.4 м (≈ –1.5 м²); проём №3 расширен</t>
  </si>
  <si>
    <t>Кухня-гостиная: кухня + обеденная зона</t>
  </si>
  <si>
    <t>стена №1 (кухня–прихожая) снесена; +1.5 м² от гостиной</t>
  </si>
  <si>
    <t>Прихожая у входа (плитка) + зона зала: диван, ТВ</t>
  </si>
  <si>
    <t>объединена с кухней в единое пространство ≈ 23.6 м²</t>
  </si>
  <si>
    <t>Ванная</t>
  </si>
  <si>
    <t>Душевая с подиумом + раковина (по видео)</t>
  </si>
  <si>
    <t>ванна заменена на душевой подиум</t>
  </si>
  <si>
    <t>С/у</t>
  </si>
  <si>
    <t>Унитаз + раковина + газовая колонка (по видео)</t>
  </si>
  <si>
    <t>Лоджия</t>
  </si>
  <si>
    <t>Утеплённая — кабинет/хранение</t>
  </si>
  <si>
    <t>Итого без лоджии</t>
  </si>
  <si>
    <t>Заметка брата (22.02.26): 1) стены кухня–прихожая не будет; 2) стену гостиной сдвинул к гостиной — кухня больше, потом детская; 3) дверной проём сделал широким, чтобы пространство казалось больше.</t>
  </si>
  <si>
    <t>Выведенные величины для сметы: ламинат 42 м², потолки 52.4 м², плинтус 50 п.м, обои 120 м², двери 3 стандартных + 1 широкая. Дизайн-концепция по 3 опциям — в отдельном документе Word.</t>
  </si>
  <si>
    <t>ЧТО ИМЕННО КУПИТЬ И ГДЕ — Саратов</t>
  </si>
  <si>
    <t>Ссылки ведут в каталоги магазинов с доставкой/самовывозом в Саратове. Ищите указанную модель/серию через поиск на сайте — конкретные артикулы и цены меняются, сверяйте перед оплатой.</t>
  </si>
  <si>
    <t>Опция</t>
  </si>
  <si>
    <t>Что купить (модель / серия)</t>
  </si>
  <si>
    <t>Ориентир цены</t>
  </si>
  <si>
    <t>Магазин</t>
  </si>
  <si>
    <t>Ссылка</t>
  </si>
  <si>
    <t>Напольное покрытие</t>
  </si>
  <si>
    <t>Ламинат 32 кл 8 мм: Kronostar Symbio / Artfloor / Kronostep</t>
  </si>
  <si>
    <t>700–850 ₽/м²</t>
  </si>
  <si>
    <t>Лемана ПРО Саратов</t>
  </si>
  <si>
    <t>https://saratov.lemanapro.ru/catalogue/laminat/klass-33/</t>
  </si>
  <si>
    <t>Альтернатива: Профком Саратов, ламинат 33 кл</t>
  </si>
  <si>
    <t>от 700 ₽/м²</t>
  </si>
  <si>
    <t>Профком Саратов</t>
  </si>
  <si>
    <t>https://www.profkom64.ru/product/napolnie_pokritiya/laminat-33-klass/</t>
  </si>
  <si>
    <t>Ламинат 33 кл 8–10 мм с фаской, влагостойкий: Egger Home / Tarkett / Kastamonu</t>
  </si>
  <si>
    <t>1 000–1 400 ₽/м²</t>
  </si>
  <si>
    <t>SPC-кварцвинил 43 кл 4–5 мм: Alpine Floor / Aquafloor / Quick-Step Alpha</t>
  </si>
  <si>
    <t>1 800–2 800 ₽/м²</t>
  </si>
  <si>
    <t>Паркет73 Саратов</t>
  </si>
  <si>
    <t>https://saratov.parket73.ru/spc-laminat/</t>
  </si>
  <si>
    <t>SPC / кварцвинил, большой выбор коллекций</t>
  </si>
  <si>
    <t>от 1 790 ₽/м²</t>
  </si>
  <si>
    <t>Олимп Паркета Саратов</t>
  </si>
  <si>
    <t>https://saratov.olimp-parketa.ru/catalog/kvarc-vinilovyy-laminat/</t>
  </si>
  <si>
    <t>Подложка, плёнка, плинтус</t>
  </si>
  <si>
    <t>ВСЕ</t>
  </si>
  <si>
    <t>Подложка ПЭ 2 мм / XPS 3 мм / пробка; плёнка 200 мкм; плинтус ПВХ / МДФ / дюрополимер — раздел «Напольные покрытия»</t>
  </si>
  <si>
    <t>см. смету</t>
  </si>
  <si>
    <t>Натяжной потолок</t>
  </si>
  <si>
    <t>ПВХ матовый MSD Classic, белый, обычный профиль</t>
  </si>
  <si>
    <t>300–450 ₽/м² с монтажом</t>
  </si>
  <si>
    <t>Потолочные компании Саратова (сравнение 72 фирм)</t>
  </si>
  <si>
    <t>https://saratov.potolochek.su/prices</t>
  </si>
  <si>
    <t>МИН/СРЕД</t>
  </si>
  <si>
    <t>Прайс: MSD от 293 ₽/м², Bauf от 460 ₽/м², Teqtum от 990 ₽/м²</t>
  </si>
  <si>
    <t>по прайсу</t>
  </si>
  <si>
    <t>СуперПотолок Саратов</t>
  </si>
  <si>
    <t>https://superpotolok.ru/ceny/</t>
  </si>
  <si>
    <t>Полотно Bauf / тканевый + теневой профиль EuroKraab</t>
  </si>
  <si>
    <t>800–1 100 ₽/м²</t>
  </si>
  <si>
    <t>РВС-Сервис Саратов</t>
  </si>
  <si>
    <t>https://potolki-rvs.ru/ceny</t>
  </si>
  <si>
    <t>Тканевый Descor/Clipso + теневой профиль + световые линии/парящий</t>
  </si>
  <si>
    <t>1 500–2 500 ₽/м²</t>
  </si>
  <si>
    <t>НатПотолокСрт</t>
  </si>
  <si>
    <t>https://saratov.natpotolok.ru/matovyj-potolok</t>
  </si>
  <si>
    <t>Светильники</t>
  </si>
  <si>
    <t>GX53 (МИН) / точечные LED (СРЕД) / магнитный трек (МАКС) — раздел «Освещение»</t>
  </si>
  <si>
    <t>Cersanit Trento компакт / Sanita Luxe / Rosa</t>
  </si>
  <si>
    <t>6 000–9 000 ₽</t>
  </si>
  <si>
    <t>https://saratov.lemanapro.ru/catalogue/unitazy-i-bide/</t>
  </si>
  <si>
    <t>Cersanit City Clean On / Roca Gap Clean Rim, безободковый, микролифт</t>
  </si>
  <si>
    <t>15 000–22 000 ₽</t>
  </si>
  <si>
    <t>Cersanit — официальный магазин, доставка по РФ</t>
  </si>
  <si>
    <t>по каталогу</t>
  </si>
  <si>
    <t>Cershop</t>
  </si>
  <si>
    <t>https://cershop.ru/unitazy/</t>
  </si>
  <si>
    <t>Инсталляция Geberit Duofix + подвесной Geberit iCon / Roca Inspira / Laufen Pro</t>
  </si>
  <si>
    <t>40 000–60 000 ₽</t>
  </si>
  <si>
    <t>Сантехника.ру Саратов</t>
  </si>
  <si>
    <t>https://saratov.santehnica.ru/brand/lemark/</t>
  </si>
  <si>
    <t>Cersanit на Ozon (сравнение цен, доставка в Саратов)</t>
  </si>
  <si>
    <t>Ozon</t>
  </si>
  <si>
    <t>https://www.ozon.ru/category/unitazy-10276/cersanit-33479360/</t>
  </si>
  <si>
    <t>Смесители</t>
  </si>
  <si>
    <t>Iddis / Esko / Frap — раковина и душ</t>
  </si>
  <si>
    <t>2 000–4 000 ₽</t>
  </si>
  <si>
    <t>https://saratov.lemanapro.ru/catalogue/smesiteli-dlya-vannoy-komnaty/</t>
  </si>
  <si>
    <t>Профком Саратов, смесители</t>
  </si>
  <si>
    <t>от 1 500 ₽</t>
  </si>
  <si>
    <t>https://www.profkom64.ru/product/santehnika/smesiteli/</t>
  </si>
  <si>
    <t>Lemark Plus Advance / Unit; Grohe BauEdge / Eurosmart; душевая система Lemark Tropic</t>
  </si>
  <si>
    <t>6 000–15 000 ₽</t>
  </si>
  <si>
    <t>Hansgrohe Talis / Logis; Grohe Essence; душевая система Hansgrohe Croma / Grohe Euphoria</t>
  </si>
  <si>
    <t>18 000–45 000 ₽</t>
  </si>
  <si>
    <t>Сантехника-Онлайн (доставка в Саратов)</t>
  </si>
  <si>
    <t>https://santehnika-online.ru/smesiteli/brand-lemark/serija-unit/</t>
  </si>
  <si>
    <t>Раковины и тумбы</t>
  </si>
  <si>
    <t>Sensea / Runo тумба 50–60 см с раковиной в комплекте</t>
  </si>
  <si>
    <t>Aquaton / Style Line / Санта, подвесная тумба 60–80 см + раковина</t>
  </si>
  <si>
    <t>18 000–30 000 ₽</t>
  </si>
  <si>
    <t>Jacob Delafon / Cezares / Vincea + раковина-чаша</t>
  </si>
  <si>
    <t>45 000–70 000 ₽</t>
  </si>
  <si>
    <t>https://www.santehnica.ru/</t>
  </si>
  <si>
    <t>Ограждение душа</t>
  </si>
  <si>
    <t>Штанга + шторка</t>
  </si>
  <si>
    <t>Стекло 8 мм закалённое Walk-In на заказ по вашему подиуму (по видео ≈ 90×90). Искать: 2ГИС/Авито Саратов «стеклянные душевые перегородки»</t>
  </si>
  <si>
    <t>25 000–35 000 ₽ с монтажом</t>
  </si>
  <si>
    <t>Стекольные мастерские Саратова</t>
  </si>
  <si>
    <t>Стекло 10 мм + распашная дверь, чёрная/латунная фурнитура; готовые Walk-In Ravak / Vincea</t>
  </si>
  <si>
    <t>50 000–80 000 ₽</t>
  </si>
  <si>
    <t>Сантехника.ру</t>
  </si>
  <si>
    <t>Розетки/выключатели</t>
  </si>
  <si>
    <t>Systeme Electric Этюд / Glossa (бывш. Schneider)</t>
  </si>
  <si>
    <t>150–250 ₽/шт</t>
  </si>
  <si>
    <t>https://saratov.lemanapro.ru/catalogue/rozetki-i-vyklyuchateli/rozetki-schneider-electric/</t>
  </si>
  <si>
    <t>Werkel / Systeme Electric AtlasDesign</t>
  </si>
  <si>
    <t>600–1 000 ₽/шт</t>
  </si>
  <si>
    <t>Legrand Valena Life / Jung A550 / Gira E2</t>
  </si>
  <si>
    <t>1 800–3 000 ₽/шт</t>
  </si>
  <si>
    <t>Электротовары.ру (доставка)</t>
  </si>
  <si>
    <t>https://elektro-tovars.ru/catalog/rozetki-vyklyuchateli/schneider-electric-rozetki-vyklyuchateli</t>
  </si>
  <si>
    <t>Щит и автоматы</t>
  </si>
  <si>
    <t>IEK / EKF, бокс на 24–36 модулей</t>
  </si>
  <si>
    <t>8 000–10 000 ₽</t>
  </si>
  <si>
    <t>https://saratov.lemanapro.ru/catalogue/avtomaticheskie-vyklyuchateli/schneider-electric/</t>
  </si>
  <si>
    <t>Schneider Easy9 / ABB Basic M + УЗО + реле напряжения</t>
  </si>
  <si>
    <t>20 000–30 000 ₽</t>
  </si>
  <si>
    <t>Виниловые на флизелине Палитра/Elysium — раздел «Обои»</t>
  </si>
  <si>
    <t>≈ 200 ₽/м²</t>
  </si>
  <si>
    <t>Флизелиновые Erismann / Marburg / AS Creation</t>
  </si>
  <si>
    <t>≈ 450 ₽/м²</t>
  </si>
  <si>
    <t>Дизайнерские / текстильные, широкий рулон 1.06 м</t>
  </si>
  <si>
    <t>от 1 200 ₽/м²</t>
  </si>
  <si>
    <t>Hoff / салоны обоев Саратова</t>
  </si>
  <si>
    <t>Двери межкомнатные</t>
  </si>
  <si>
    <t>Ламинированные с коробом и наличниками — раздел «Двери»</t>
  </si>
  <si>
    <t>Экошпон / ПВХ (Profilo Porte, Uberture) с врезкой</t>
  </si>
  <si>
    <t>16 000–22 000 ₽</t>
  </si>
  <si>
    <t>Эмаль / шпон, скрытый короб, раздвижная система в пенал</t>
  </si>
  <si>
    <t>40 000–90 000 ₽</t>
  </si>
  <si>
    <t>Салоны дверей Саратова</t>
  </si>
  <si>
    <t>Мебель, кухни Hoff</t>
  </si>
  <si>
    <t>Hoff Саратов — Happy Молл, Вольский тракт 2 (открыт с 2025, есть студия планирования кухонь)</t>
  </si>
  <si>
    <t>Hoff Саратов</t>
  </si>
  <si>
    <t>ABB S200 / Hager, дифавтоматы на каждую группу, реле напряжения, УЗИП</t>
  </si>
  <si>
    <t>50 000–70 000 ₽</t>
  </si>
  <si>
    <t>Электротовары.ру</t>
  </si>
  <si>
    <t>РАСЦЕНКИ НА РАБОТЫ И ГДЕ ИСКАТЬ МАСТЕРОВ — Саратов</t>
  </si>
  <si>
    <t>Вид работ</t>
  </si>
  <si>
    <t>Ориентир цены (Саратов, 2026)</t>
  </si>
  <si>
    <t>Где искать</t>
  </si>
  <si>
    <t>Что проверить у мастера</t>
  </si>
  <si>
    <t>Укладка ламината / SPC</t>
  </si>
  <si>
    <t>200–500 ₽/м² (SPC и диагональ дороже)</t>
  </si>
  <si>
    <t>Profi.ru Саратов</t>
  </si>
  <si>
    <t>https://profi.ru/geo-saratov/remont/pol/ukladka-laminata/price/</t>
  </si>
  <si>
    <t>перепад стяжки ≤ 2 мм на 2 м; ламинат должен отлежаться 48 ч</t>
  </si>
  <si>
    <t>Укладка ламината — бригада с замером</t>
  </si>
  <si>
    <t>от 285 ₽/м²</t>
  </si>
  <si>
    <t>S5R Саратов</t>
  </si>
  <si>
    <t>https://saratov.s5r.ru/ukladka-laminata</t>
  </si>
  <si>
    <t>бесплатный замер и смета</t>
  </si>
  <si>
    <t>Натяжные потолки под ключ</t>
  </si>
  <si>
    <t>300–450 ₽/м² МИН; 800–1 100 СРЕД; 1 500+ МАКС</t>
  </si>
  <si>
    <t>СуперПотолок / РВС-Сервис / НатПотолокСрт</t>
  </si>
  <si>
    <t>обвод труб, углы, закладные — считаются отдельно, требуйте полную смету</t>
  </si>
  <si>
    <t>Плиточник / сантехник / электрик</t>
  </si>
  <si>
    <t>плиточники от 800 ₽/м²; сантехника и электрика — по точкам</t>
  </si>
  <si>
    <t>https://profi.ru/geo-saratov/remont/plitochniki/price/</t>
  </si>
  <si>
    <t>паспорт проверен, отзывы, гарантия на работы</t>
  </si>
  <si>
    <t>Установка сантехники</t>
  </si>
  <si>
    <t>унитаз 2 500–4 000; раковина 2 500–4 000; смеситель душа 2 000–3 500; инсталляция 6 000–9 000</t>
  </si>
  <si>
    <t>Profi.ru / Avito Саратов</t>
  </si>
  <si>
    <t>опрессовка соединений, чек на материалы</t>
  </si>
  <si>
    <t>Электромонтаж</t>
  </si>
  <si>
    <t>розетка/выключатель 250–600 ₽; сборка щита 6 000–25 000; точка света 500–800 ₽</t>
  </si>
  <si>
    <t>схема щита на бумаге, маркировка линий, акт проверки</t>
  </si>
  <si>
    <t>ЧТО ВИДНО НА ВИДЕО И В КАКОМ ПОРЯДКЕ ДЕЛАТЬ</t>
  </si>
  <si>
    <t>Зона</t>
  </si>
  <si>
    <t>Состояние по видео</t>
  </si>
  <si>
    <t>Что делать</t>
  </si>
  <si>
    <t>Этап</t>
  </si>
  <si>
    <t>Пол в комнатах, кухне, коридоре у окна</t>
  </si>
  <si>
    <t>Ровная серая стяжка / наливной пол, чистая, без покрытия</t>
  </si>
  <si>
    <t>Грунт → плёнка → подложка → ламинат/SPC → плинтус</t>
  </si>
  <si>
    <t>3</t>
  </si>
  <si>
    <t>Пол в прихожей и у санузлов</t>
  </si>
  <si>
    <t>Уложен крупноформатный керамогранит «под мрамор», швы затёрты</t>
  </si>
  <si>
    <t>Ничего. Только порожек на стыке с ламинатом</t>
  </si>
  <si>
    <t>Стены во всех комнатах</t>
  </si>
  <si>
    <t>Оштукатурены и зашпаклёваны (белые), не окрашены, без обоев</t>
  </si>
  <si>
    <t>Финиш стен — НЕ в этой смете, но делать ДО пола и ДО натяжного потолка (профиль крепится к готовым стенам)</t>
  </si>
  <si>
    <t>1</t>
  </si>
  <si>
    <t>Потолки везде</t>
  </si>
  <si>
    <t>Голая плита, по ней открытая проводка и трубы, висящие провода</t>
  </si>
  <si>
    <t>Закрепить кабель в гофре, поставить закладные под люстры/карнизы → натяжной потолок</t>
  </si>
  <si>
    <t>2 → 4</t>
  </si>
  <si>
    <t>Электрика</t>
  </si>
  <si>
    <t>Из стен торчат провода в местах розеток/выключателей; на стене санузла №1 — корпус розетки; щита в сборе не видно</t>
  </si>
  <si>
    <t>Собрать щит, поставить розетки/выключатели, прозвонить</t>
  </si>
  <si>
    <t>2 (щит) → 5 (розетки)</t>
  </si>
  <si>
    <t>Санузел №1</t>
  </si>
  <si>
    <t>Стены в плитке «оникс», висит газовая колонка, выводы воды и канализации готовы, стоит старый унитаз без бачка (временный), на полу трап/квадрат плитки, угловая полка</t>
  </si>
  <si>
    <t>Новый унитаз, раковина с тумбой и смесителем, зеркало, гигиенический душ, люк к колонке, вентилятор</t>
  </si>
  <si>
    <t>5</t>
  </si>
  <si>
    <t>Санузел №2 (душевая)</t>
  </si>
  <si>
    <t>Душевой подиум с линейным трапом, отделан плиткой «под дерево», 3 полки в нише, выводы под смеситель душа и под раковину, светильник висит на проводе</t>
  </si>
  <si>
    <t>Смеситель + стойка, стеклянное ограждение, раковина с тумбой, полотенцесушитель, вентилятор</t>
  </si>
  <si>
    <t>Двери</t>
  </si>
  <si>
    <t>Межкомнатных дверей нет, проёмы пустые</t>
  </si>
  <si>
    <t>Двери — НЕ в этой смете; ставить ПОСЛЕ пола (этап 6)</t>
  </si>
  <si>
    <t>6</t>
  </si>
  <si>
    <t>Отопление</t>
  </si>
  <si>
    <t>Радиатор под окном установлен</t>
  </si>
  <si>
    <t>Ничего</t>
  </si>
  <si>
    <t>ПОРЯДОК РАБОТ (чтобы не переделывать)</t>
  </si>
  <si>
    <t>1. Финиш стен (покраска/обои) — до потолка и до пола.</t>
  </si>
  <si>
    <t>2. Электрика: сборка щита, разводка потолочных линий в гофре, закладные под люстры и карнизы. Розетки пока НЕ ставить.</t>
  </si>
  <si>
    <t>3. Пол: грунт, плёнка, подложка, ламинат/SPC. Плинтус — после дверей (этап 6) либо сразу, если двери с добором.</t>
  </si>
  <si>
    <t>4. Натяжные потолки (замер за 1–2 дня, монтаж 1 день на квартиру). Условие: стены готовы, точки света разведены, t в квартире ≥ +10°C.</t>
  </si>
  <si>
    <t>5. Сантехника и электроустановка: унитаз, раковины, смесители, стекло душевой, полотенцесушитель, вентиляторы, розетки/выключатели, светильники.</t>
  </si>
  <si>
    <t>6. Двери, плинтус, финальная уборка.</t>
  </si>
  <si>
    <t>ЧТО ОБЯЗАТЕЛЬНО ПОД НАТЯЖНОЙ ПОТОЛОК</t>
  </si>
  <si>
    <t>— Весь кабель по потолку в гофре, закреплён клипсами каждые 50 см (на видео он висит свободно).</t>
  </si>
  <si>
    <t>— Закладные (фанера/платформы) под каждую люстру, трек и под карниз штор — на стойках или брусе.</t>
  </si>
  <si>
    <t>— Штробы и дыры в потолке заделаны, вентканалы закрыты решётками.</t>
  </si>
  <si>
    <t>— Стены зашпаклёваны до потолка (профиль крепится к стене на дюбели каждые 10–15 см).</t>
  </si>
  <si>
    <t>— Газовая колонка и трубы в санузле №1: под потолком нужен зазор для обслуживания — обсудить с замерщиком, возможно короб или обвод.</t>
  </si>
  <si>
    <t>— В санузлах — только ПВХ (тканевый не любит влагу), обвод труб считается отдельно.</t>
  </si>
</sst>
</file>

<file path=xl/styles.xml><?xml version="1.0" encoding="utf-8"?>
<styleSheet xmlns="http://schemas.openxmlformats.org/spreadsheetml/2006/main">
  <numFmts count="3">
    <numFmt numFmtId="164" formatCode="#,##0&quot; ₽&quot;;\(#,##0&quot; ₽)&quot;;\-"/>
    <numFmt numFmtId="165" formatCode="0.0%"/>
    <numFmt numFmtId="166" formatCode="0.0"/>
  </numFmts>
  <fonts count="17">
    <font>
      <name val="Calibri"/>
      <charset val="1"/>
      <family val="2"/>
      <color theme="1"/>
      <sz val="11"/>
    </font>
    <font>
      <name val="Arial"/>
      <family val="2"/>
      <b val="1"/>
      <sz val="13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color rgb="FF008000"/>
      <sz val="10"/>
    </font>
    <font>
      <name val="Arial"/>
      <family val="2"/>
      <b val="1"/>
      <sz val="12"/>
    </font>
    <font>
      <name val="Arial"/>
      <family val="2"/>
      <color rgb="FF0563C1"/>
      <sz val="10"/>
      <u val="single"/>
    </font>
    <font>
      <name val="Arial"/>
      <family val="2"/>
      <b val="1"/>
      <color rgb="FF008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b val="1"/>
      <sz val="13"/>
    </font>
    <font>
      <i val="1"/>
      <color rgb="00555555"/>
    </font>
    <font>
      <b val="1"/>
      <color rgb="00FFFFFF"/>
    </font>
    <font>
      <color rgb="001F5F8B"/>
      <u val="single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theme="5"/>
        <bgColor rgb="FF003366"/>
      </patternFill>
    </fill>
    <fill>
      <patternFill patternType="solid">
        <fgColor rgb="002F3E46"/>
      </patternFill>
    </fill>
    <fill>
      <patternFill patternType="solid">
        <fgColor rgb="00E8F3E8"/>
      </patternFill>
    </fill>
    <fill>
      <patternFill patternType="solid">
        <fgColor rgb="00FFF4D6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9" fontId="4" fillId="3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9" fontId="6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9" fillId="4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11" fillId="5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0" fontId="15" fillId="7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66" fontId="0" fillId="1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00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Ремонт </a:t>
            </a: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Заезд по опциям, </a:t>
            </a:r>
            <a:r>
              <a:rPr lang="en-RU" sz="1800" b="1" strike="noStrike" spc="-1">
                <a:solidFill>
                  <a:srgbClr val="000000"/>
                </a:solidFill>
                <a:latin typeface="Calibri"/>
              </a:rPr>
              <a:t>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'3_Саммари'!$A$8</c:f>
              <c:strCache>
                <c:ptCount val="1"/>
                <c:pt idx="0">
                  <c:v>1. РЕМОНТ — ИТОГО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'3_Саммари'!$B$4:$E$4</c:f>
              <c:strCache>
                <c:ptCount val="4"/>
                <c:pt idx="0">
                  <c:v>МИН</c:v>
                </c:pt>
                <c:pt idx="1">
                  <c:v>СРЕД</c:v>
                </c:pt>
                <c:pt idx="2">
                  <c:v>МАКС</c:v>
                </c:pt>
                <c:pt idx="3">
                  <c:v>РЕАЛ (сборка)</c:v>
                </c:pt>
              </c:strCache>
            </c:strRef>
          </c:cat>
          <c:val>
            <c:numRef>
              <c:f>'3_Саммари'!$B$8:$E$8</c:f>
              <c:numCache>
                <c:formatCode>#\ ##0" ₽";\(#\ ##0" ₽)";\-</c:formatCode>
                <c:ptCount val="4"/>
                <c:pt idx="0">
                  <c:v>393569</c:v>
                </c:pt>
                <c:pt idx="1">
                  <c:v>916916</c:v>
                </c:pt>
                <c:pt idx="2">
                  <c:v>2017235</c:v>
                </c:pt>
                <c:pt idx="3">
                  <c:v>916916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2-4845-AAAB-1A34B212CE6E}"/>
            </c:ext>
          </c:extLst>
        </c:ser>
        <c:ser>
          <c:idx val="1"/>
          <c:order val="1"/>
          <c:tx>
            <c:strRef>
              <c:f>'3_Саммари'!$A$13</c:f>
              <c:strCache>
                <c:ptCount val="1"/>
                <c:pt idx="0">
                  <c:v>2. ЗАЕЗД — ИТОГО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'3_Саммари'!$B$4:$E$4</c:f>
              <c:strCache>
                <c:ptCount val="4"/>
                <c:pt idx="0">
                  <c:v>МИН</c:v>
                </c:pt>
                <c:pt idx="1">
                  <c:v>СРЕД</c:v>
                </c:pt>
                <c:pt idx="2">
                  <c:v>МАКС</c:v>
                </c:pt>
                <c:pt idx="3">
                  <c:v>РЕАЛ (сборка)</c:v>
                </c:pt>
              </c:strCache>
            </c:strRef>
          </c:cat>
          <c:val>
            <c:numRef>
              <c:f>'3_Саммари'!$B$13:$E$13</c:f>
              <c:numCache>
                <c:formatCode>#\ ##0" ₽";\(#\ ##0" ₽)";\-</c:formatCode>
                <c:ptCount val="4"/>
                <c:pt idx="0">
                  <c:v>521400</c:v>
                </c:pt>
                <c:pt idx="1">
                  <c:v>1399750</c:v>
                </c:pt>
                <c:pt idx="2">
                  <c:v>3829100</c:v>
                </c:pt>
                <c:pt idx="3">
                  <c:v>870100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2-4845-AAAB-1A34B212C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955219"/>
        <c:axId val="67914858"/>
      </c:barChart>
      <c:catAx>
        <c:axId val="329552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U"/>
          </a:p>
        </c:txPr>
        <c:crossAx val="67914858"/>
        <c:crosses val="autoZero"/>
        <c:auto val="1"/>
        <c:lblAlgn val="ctr"/>
        <c:lblOffset val="100"/>
        <c:noMultiLvlLbl val="0"/>
      </c:catAx>
      <c:valAx>
        <c:axId val="67914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RU" sz="1000" b="1" strike="noStrike" spc="-1">
                    <a:solidFill>
                      <a:srgbClr val="000000"/>
                    </a:solidFill>
                    <a:latin typeface="Calibri"/>
                  </a:rPr>
                  <a:t>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&quot; ₽&quot;;\(#\ ##0&quot; ₽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U"/>
          </a:p>
        </c:txPr>
        <c:crossAx val="329552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176040</xdr:rowOff>
    </xdr:from>
    <xdr:to>
      <xdr:col>3</xdr:col>
      <xdr:colOff>136080</xdr:colOff>
      <xdr:row>42</xdr:row>
      <xdr:rowOff>177120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hoff.ru/catalog/mebel/" TargetMode="External"/><Relationship Id="rId18" Type="http://schemas.openxmlformats.org/officeDocument/2006/relationships/hyperlink" Target="https://hoff.ru/catalog/mebel/" TargetMode="External"/><Relationship Id="rId26" Type="http://schemas.openxmlformats.org/officeDocument/2006/relationships/hyperlink" Target="https://hoff.ru/catalog/mebel/" TargetMode="External"/><Relationship Id="rId39" Type="http://schemas.openxmlformats.org/officeDocument/2006/relationships/hyperlink" Target="https://hoff.ru/catalog/mebel/" TargetMode="External"/><Relationship Id="rId21" Type="http://schemas.openxmlformats.org/officeDocument/2006/relationships/hyperlink" Target="https://hoff.ru/catalog/mebel/" TargetMode="External"/><Relationship Id="rId34" Type="http://schemas.openxmlformats.org/officeDocument/2006/relationships/hyperlink" Target="https://hoff.ru/catalog/mebel/" TargetMode="External"/><Relationship Id="rId42" Type="http://schemas.openxmlformats.org/officeDocument/2006/relationships/hyperlink" Target="https://www.dns-shop.ru/?city=saratov" TargetMode="External"/><Relationship Id="rId7" Type="http://schemas.openxmlformats.org/officeDocument/2006/relationships/hyperlink" Target="https://www.dns-shop.ru/?city=saratov" TargetMode="External"/><Relationship Id="rId2" Type="http://schemas.openxmlformats.org/officeDocument/2006/relationships/hyperlink" Target="https://hoff.ru/catalog/kuhnya/kuhonnye_garnitury/" TargetMode="External"/><Relationship Id="rId16" Type="http://schemas.openxmlformats.org/officeDocument/2006/relationships/hyperlink" Target="https://hoff.ru/catalog/mebel/" TargetMode="External"/><Relationship Id="rId29" Type="http://schemas.openxmlformats.org/officeDocument/2006/relationships/hyperlink" Target="https://saratov.lemanapro.ru/" TargetMode="External"/><Relationship Id="rId1" Type="http://schemas.openxmlformats.org/officeDocument/2006/relationships/hyperlink" Target="https://hoff.ru/catalog/kukhonnye-garnitury/modulnye-kukhonnye-garnitury/" TargetMode="External"/><Relationship Id="rId6" Type="http://schemas.openxmlformats.org/officeDocument/2006/relationships/hyperlink" Target="https://www.dns-shop.ru/?city=saratov" TargetMode="External"/><Relationship Id="rId11" Type="http://schemas.openxmlformats.org/officeDocument/2006/relationships/hyperlink" Target="https://hoff.ru/catalog/mebel/" TargetMode="External"/><Relationship Id="rId24" Type="http://schemas.openxmlformats.org/officeDocument/2006/relationships/hyperlink" Target="https://hoff.ru/catalog/mebel/" TargetMode="External"/><Relationship Id="rId32" Type="http://schemas.openxmlformats.org/officeDocument/2006/relationships/hyperlink" Target="https://hoff.ru/catalog/mebel/" TargetMode="External"/><Relationship Id="rId37" Type="http://schemas.openxmlformats.org/officeDocument/2006/relationships/hyperlink" Target="https://hoff.ru/catalog/mebel/" TargetMode="External"/><Relationship Id="rId40" Type="http://schemas.openxmlformats.org/officeDocument/2006/relationships/hyperlink" Target="https://hoff.ru/catalog/mebel/" TargetMode="External"/><Relationship Id="rId45" Type="http://schemas.openxmlformats.org/officeDocument/2006/relationships/hyperlink" Target="https://www.dns-shop.ru/?city=saratov" TargetMode="External"/><Relationship Id="rId5" Type="http://schemas.openxmlformats.org/officeDocument/2006/relationships/hyperlink" Target="https://www.dns-shop.ru/?city=saratov" TargetMode="External"/><Relationship Id="rId15" Type="http://schemas.openxmlformats.org/officeDocument/2006/relationships/hyperlink" Target="https://hoff.ru/catalog/mebel/" TargetMode="External"/><Relationship Id="rId23" Type="http://schemas.openxmlformats.org/officeDocument/2006/relationships/hyperlink" Target="https://hoff.ru/catalog/mebel/" TargetMode="External"/><Relationship Id="rId28" Type="http://schemas.openxmlformats.org/officeDocument/2006/relationships/hyperlink" Target="https://hoff.ru/catalog/mebel/" TargetMode="External"/><Relationship Id="rId36" Type="http://schemas.openxmlformats.org/officeDocument/2006/relationships/hyperlink" Target="https://hoff.ru/catalog/mebel/" TargetMode="External"/><Relationship Id="rId10" Type="http://schemas.openxmlformats.org/officeDocument/2006/relationships/hyperlink" Target="https://www.dns-shop.ru/?city=saratov" TargetMode="External"/><Relationship Id="rId19" Type="http://schemas.openxmlformats.org/officeDocument/2006/relationships/hyperlink" Target="https://hoff.ru/catalog/mebel/" TargetMode="External"/><Relationship Id="rId31" Type="http://schemas.openxmlformats.org/officeDocument/2006/relationships/hyperlink" Target="https://www.dns-shop.ru/catalog/17a8ae1316404e77/televizory-i-aksessuary/" TargetMode="External"/><Relationship Id="rId44" Type="http://schemas.openxmlformats.org/officeDocument/2006/relationships/hyperlink" Target="https://hoff.ru/catalog/mebel/" TargetMode="External"/><Relationship Id="rId4" Type="http://schemas.openxmlformats.org/officeDocument/2006/relationships/hyperlink" Target="https://saratov.lemanapro.ru/" TargetMode="External"/><Relationship Id="rId9" Type="http://schemas.openxmlformats.org/officeDocument/2006/relationships/hyperlink" Target="https://www.dns-shop.ru/?city=saratov" TargetMode="External"/><Relationship Id="rId14" Type="http://schemas.openxmlformats.org/officeDocument/2006/relationships/hyperlink" Target="https://hoff.ru/catalog/mebel/" TargetMode="External"/><Relationship Id="rId22" Type="http://schemas.openxmlformats.org/officeDocument/2006/relationships/hyperlink" Target="https://hoff.ru/catalog/mebel/" TargetMode="External"/><Relationship Id="rId27" Type="http://schemas.openxmlformats.org/officeDocument/2006/relationships/hyperlink" Target="https://hoff.ru/catalog/mebel/" TargetMode="External"/><Relationship Id="rId30" Type="http://schemas.openxmlformats.org/officeDocument/2006/relationships/hyperlink" Target="https://hoff.ru/catalog/gostinaya/divany/" TargetMode="External"/><Relationship Id="rId35" Type="http://schemas.openxmlformats.org/officeDocument/2006/relationships/hyperlink" Target="https://hoff.ru/catalog/mebel/" TargetMode="External"/><Relationship Id="rId43" Type="http://schemas.openxmlformats.org/officeDocument/2006/relationships/hyperlink" Target="https://www.dns-shop.ru/?city=saratov" TargetMode="External"/><Relationship Id="rId8" Type="http://schemas.openxmlformats.org/officeDocument/2006/relationships/hyperlink" Target="https://www.dns-shop.ru/?city=saratov" TargetMode="External"/><Relationship Id="rId3" Type="http://schemas.openxmlformats.org/officeDocument/2006/relationships/hyperlink" Target="https://saratov.lemanapro.ru/" TargetMode="External"/><Relationship Id="rId12" Type="http://schemas.openxmlformats.org/officeDocument/2006/relationships/hyperlink" Target="https://hoff.ru/catalog/mebel/" TargetMode="External"/><Relationship Id="rId17" Type="http://schemas.openxmlformats.org/officeDocument/2006/relationships/hyperlink" Target="https://hoff.ru/catalog/mebel/" TargetMode="External"/><Relationship Id="rId25" Type="http://schemas.openxmlformats.org/officeDocument/2006/relationships/hyperlink" Target="https://hoff.ru/catalog/mebel/" TargetMode="External"/><Relationship Id="rId33" Type="http://schemas.openxmlformats.org/officeDocument/2006/relationships/hyperlink" Target="https://hoff.ru/catalog/mebel/" TargetMode="External"/><Relationship Id="rId38" Type="http://schemas.openxmlformats.org/officeDocument/2006/relationships/hyperlink" Target="https://saratov.lemanapro.ru/" TargetMode="External"/><Relationship Id="rId20" Type="http://schemas.openxmlformats.org/officeDocument/2006/relationships/hyperlink" Target="https://saratov.lemanapro.ru/" TargetMode="External"/><Relationship Id="rId41" Type="http://schemas.openxmlformats.org/officeDocument/2006/relationships/hyperlink" Target="https://www.dns-shop.ru/?city=sarato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saratov.lemanapro.ru/catalogue/unitazy-i-bide/" TargetMode="External"/><Relationship Id="rId18" Type="http://schemas.openxmlformats.org/officeDocument/2006/relationships/hyperlink" Target="https://www.profkom64.ru/product/santehnika/smesiteli/" TargetMode="External"/><Relationship Id="rId26" Type="http://schemas.openxmlformats.org/officeDocument/2006/relationships/hyperlink" Target="https://www.santehnica.ru/" TargetMode="External"/><Relationship Id="rId39" Type="http://schemas.openxmlformats.org/officeDocument/2006/relationships/hyperlink" Target="https://elektro-tovars.ru/catalog/rozetki-vyklyuchateli/schneider-electric-rozetki-vyklyuchateli" TargetMode="External"/><Relationship Id="rId21" Type="http://schemas.openxmlformats.org/officeDocument/2006/relationships/hyperlink" Target="https://saratov.lemanapro.ru/" TargetMode="External"/><Relationship Id="rId34" Type="http://schemas.openxmlformats.org/officeDocument/2006/relationships/hyperlink" Target="https://hoff.ru/catalog/mebel/" TargetMode="External"/><Relationship Id="rId7" Type="http://schemas.openxmlformats.org/officeDocument/2006/relationships/hyperlink" Target="https://saratov.potolochek.su/prices" TargetMode="External"/><Relationship Id="rId12" Type="http://schemas.openxmlformats.org/officeDocument/2006/relationships/hyperlink" Target="https://saratov.lemanapro.ru/catalogue/unitazy-i-bide/" TargetMode="External"/><Relationship Id="rId17" Type="http://schemas.openxmlformats.org/officeDocument/2006/relationships/hyperlink" Target="https://saratov.lemanapro.ru/catalogue/smesiteli-dlya-vannoy-komnaty/" TargetMode="External"/><Relationship Id="rId25" Type="http://schemas.openxmlformats.org/officeDocument/2006/relationships/hyperlink" Target="https://saratov.potolochek.su/prices" TargetMode="External"/><Relationship Id="rId33" Type="http://schemas.openxmlformats.org/officeDocument/2006/relationships/hyperlink" Target="https://saratov.lemanapro.ru/" TargetMode="External"/><Relationship Id="rId38" Type="http://schemas.openxmlformats.org/officeDocument/2006/relationships/hyperlink" Target="https://hoff.ru/catalog/kuhnya/kuhonnye_garnitury/" TargetMode="External"/><Relationship Id="rId2" Type="http://schemas.openxmlformats.org/officeDocument/2006/relationships/hyperlink" Target="https://www.profkom64.ru/product/napolnie_pokritiya/laminat-33-klass/" TargetMode="External"/><Relationship Id="rId16" Type="http://schemas.openxmlformats.org/officeDocument/2006/relationships/hyperlink" Target="https://www.ozon.ru/category/unitazy-10276/cersanit-33479360/" TargetMode="External"/><Relationship Id="rId20" Type="http://schemas.openxmlformats.org/officeDocument/2006/relationships/hyperlink" Target="https://santehnika-online.ru/smesiteli/brand-lemark/serija-unit/" TargetMode="External"/><Relationship Id="rId29" Type="http://schemas.openxmlformats.org/officeDocument/2006/relationships/hyperlink" Target="https://elektro-tovars.ru/catalog/rozetki-vyklyuchateli/schneider-electric-rozetki-vyklyuchateli" TargetMode="External"/><Relationship Id="rId1" Type="http://schemas.openxmlformats.org/officeDocument/2006/relationships/hyperlink" Target="https://saratov.lemanapro.ru/catalogue/laminat/klass-33/" TargetMode="External"/><Relationship Id="rId6" Type="http://schemas.openxmlformats.org/officeDocument/2006/relationships/hyperlink" Target="https://saratov.lemanapro.ru/" TargetMode="External"/><Relationship Id="rId11" Type="http://schemas.openxmlformats.org/officeDocument/2006/relationships/hyperlink" Target="https://saratov.lemanapro.ru/" TargetMode="External"/><Relationship Id="rId24" Type="http://schemas.openxmlformats.org/officeDocument/2006/relationships/hyperlink" Target="https://saratov.lemanapro.ru/" TargetMode="External"/><Relationship Id="rId32" Type="http://schemas.openxmlformats.org/officeDocument/2006/relationships/hyperlink" Target="https://saratov.lemanapro.ru/" TargetMode="External"/><Relationship Id="rId37" Type="http://schemas.openxmlformats.org/officeDocument/2006/relationships/hyperlink" Target="https://saratov.potolochek.su/prices" TargetMode="External"/><Relationship Id="rId5" Type="http://schemas.openxmlformats.org/officeDocument/2006/relationships/hyperlink" Target="https://saratov.olimp-parketa.ru/catalog/kvarc-vinilovyy-laminat/" TargetMode="External"/><Relationship Id="rId15" Type="http://schemas.openxmlformats.org/officeDocument/2006/relationships/hyperlink" Target="https://saratov.santehnica.ru/brand/lemark/" TargetMode="External"/><Relationship Id="rId23" Type="http://schemas.openxmlformats.org/officeDocument/2006/relationships/hyperlink" Target="https://www.santehnica.ru/" TargetMode="External"/><Relationship Id="rId28" Type="http://schemas.openxmlformats.org/officeDocument/2006/relationships/hyperlink" Target="https://saratov.lemanapro.ru/catalogue/rozetki-i-vyklyuchateli/rozetki-schneider-electric/" TargetMode="External"/><Relationship Id="rId36" Type="http://schemas.openxmlformats.org/officeDocument/2006/relationships/hyperlink" Target="https://saratov.lemanapro.ru/" TargetMode="External"/><Relationship Id="rId10" Type="http://schemas.openxmlformats.org/officeDocument/2006/relationships/hyperlink" Target="https://saratov.natpotolok.ru/matovyj-potolok" TargetMode="External"/><Relationship Id="rId19" Type="http://schemas.openxmlformats.org/officeDocument/2006/relationships/hyperlink" Target="https://saratov.santehnica.ru/brand/lemark/" TargetMode="External"/><Relationship Id="rId31" Type="http://schemas.openxmlformats.org/officeDocument/2006/relationships/hyperlink" Target="https://saratov.lemanapro.ru/catalogue/avtomaticheskie-vyklyuchateli/schneider-electric/" TargetMode="External"/><Relationship Id="rId4" Type="http://schemas.openxmlformats.org/officeDocument/2006/relationships/hyperlink" Target="https://saratov.parket73.ru/spc-laminat/" TargetMode="External"/><Relationship Id="rId9" Type="http://schemas.openxmlformats.org/officeDocument/2006/relationships/hyperlink" Target="https://potolki-rvs.ru/ceny" TargetMode="External"/><Relationship Id="rId14" Type="http://schemas.openxmlformats.org/officeDocument/2006/relationships/hyperlink" Target="https://cershop.ru/unitazy/" TargetMode="External"/><Relationship Id="rId22" Type="http://schemas.openxmlformats.org/officeDocument/2006/relationships/hyperlink" Target="https://saratov.santehnica.ru/brand/lemark/" TargetMode="External"/><Relationship Id="rId27" Type="http://schemas.openxmlformats.org/officeDocument/2006/relationships/hyperlink" Target="https://saratov.lemanapro.ru/catalogue/rozetki-i-vyklyuchateli/rozetki-schneider-electric/" TargetMode="External"/><Relationship Id="rId30" Type="http://schemas.openxmlformats.org/officeDocument/2006/relationships/hyperlink" Target="https://saratov.lemanapro.ru/catalogue/avtomaticheskie-vyklyuchateli/schneider-electric/" TargetMode="External"/><Relationship Id="rId35" Type="http://schemas.openxmlformats.org/officeDocument/2006/relationships/hyperlink" Target="https://saratov.lemanapro.ru/" TargetMode="External"/><Relationship Id="rId8" Type="http://schemas.openxmlformats.org/officeDocument/2006/relationships/hyperlink" Target="https://superpotolok.ru/ceny/" TargetMode="External"/><Relationship Id="rId3" Type="http://schemas.openxmlformats.org/officeDocument/2006/relationships/hyperlink" Target="https://saratov.lemanapro.ru/catalogue/laminat/klass-33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uperpotolok.ru/ceny/" TargetMode="External"/><Relationship Id="rId2" Type="http://schemas.openxmlformats.org/officeDocument/2006/relationships/hyperlink" Target="https://saratov.s5r.ru/ukladka-laminata" TargetMode="External"/><Relationship Id="rId1" Type="http://schemas.openxmlformats.org/officeDocument/2006/relationships/hyperlink" Target="https://profi.ru/geo-saratov/remont/pol/ukladka-laminata/price/" TargetMode="External"/><Relationship Id="rId6" Type="http://schemas.openxmlformats.org/officeDocument/2006/relationships/hyperlink" Target="https://profi.ru/geo-saratov/remont/plitochniki/price/" TargetMode="External"/><Relationship Id="rId5" Type="http://schemas.openxmlformats.org/officeDocument/2006/relationships/hyperlink" Target="https://profi.ru/geo-saratov/remont/plitochniki/price/" TargetMode="External"/><Relationship Id="rId4" Type="http://schemas.openxmlformats.org/officeDocument/2006/relationships/hyperlink" Target="https://profi.ru/geo-saratov/remont/plitochniki/price/" TargetMode="Externa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profkom64.ru/product/napolnie_pokritiya/laminat-33-klass/" TargetMode="External" Id="rId1"/><Relationship Type="http://schemas.openxmlformats.org/officeDocument/2006/relationships/hyperlink" Target="https://www.profkom64.ru/product/napolnie_pokritiya/laminat-33-klass/" TargetMode="External" Id="rId2"/><Relationship Type="http://schemas.openxmlformats.org/officeDocument/2006/relationships/hyperlink" Target="https://saratov.parket73.ru/spc-laminat/" TargetMode="External" Id="rId3"/><Relationship Type="http://schemas.openxmlformats.org/officeDocument/2006/relationships/hyperlink" Target="https://www.avito.ru/saratov?q=%D0%9D%D0%B0%D0%BF%D0%BE%D0%BB%D1%8C%D0%BD%D0%BE%D0%B5%20%D0%BF%D0%BE%D0%BA%D1%80%D1%8B%D1%82%D0%B8%D0%B5" TargetMode="External" Id="rId4"/><Relationship Type="http://schemas.openxmlformats.org/officeDocument/2006/relationships/hyperlink" Target="https://www.profkom64.ru/product/napolnie_pokritiya/podlozhka_pod_laminat_linoleum_parket/" TargetMode="External" Id="rId5"/><Relationship Type="http://schemas.openxmlformats.org/officeDocument/2006/relationships/hyperlink" Target="https://www.profkom64.ru/product/napolnie_pokritiya/podlozhka_pod_laminat_linoleum_parket/" TargetMode="External" Id="rId6"/><Relationship Type="http://schemas.openxmlformats.org/officeDocument/2006/relationships/hyperlink" Target="https://www.profkom64.ru/product/napolnie_pokritiya/podlozhka_pod_laminat_linoleum_parket/" TargetMode="External" Id="rId7"/><Relationship Type="http://schemas.openxmlformats.org/officeDocument/2006/relationships/hyperlink" Target="https://www.avito.ru/saratov?q=%D0%9F%D0%BE%D0%B4%D0%BB%D0%BE%D0%B6%D0%BA%D0%B0" TargetMode="External" Id="rId8"/><Relationship Type="http://schemas.openxmlformats.org/officeDocument/2006/relationships/hyperlink" Target="https://bikra-m.ru/guard/plenka-ograzhdeniya-i-ukrytiya/plenka/200-mkm/" TargetMode="External" Id="rId9"/><Relationship Type="http://schemas.openxmlformats.org/officeDocument/2006/relationships/hyperlink" Target="https://www.profkom64.ru/product/utepliteli/paroizol_plenka/plenka_200_prozrachnaya.html" TargetMode="External" Id="rId10"/><Relationship Type="http://schemas.openxmlformats.org/officeDocument/2006/relationships/hyperlink" Target="https://lemanapro.ru/catalogue/plenki-stroitelnye/200-mkm/" TargetMode="External" Id="rId11"/><Relationship Type="http://schemas.openxmlformats.org/officeDocument/2006/relationships/hyperlink" Target="https://www.avito.ru/saratov?q=%D0%9F%D0%BB%D1%91%D0%BD%D0%BA%D0%B0%20%D0%BF%D0%B0%D1%80%D0%BE%D0%B8%D0%B7%D0%BE%D0%BB%D1%8F%D1%86%D0%B8%D1%8F%20200%20%D0%BC%D0%BA%D0%BC" TargetMode="External" Id="rId12"/><Relationship Type="http://schemas.openxmlformats.org/officeDocument/2006/relationships/hyperlink" Target="https://engels.profkom64.ru/product/napolnie_pokritiya/plintus/" TargetMode="External" Id="rId13"/><Relationship Type="http://schemas.openxmlformats.org/officeDocument/2006/relationships/hyperlink" Target="https://pro-plintys.ru/a036plintusartprofilnapolnyyizdyuropolimerapodpokrasku100x16" TargetMode="External" Id="rId14"/><Relationship Type="http://schemas.openxmlformats.org/officeDocument/2006/relationships/hyperlink" Target="https://lemanapro.ru/catalogue/napolnye-plintusy/tenevye/" TargetMode="External" Id="rId15"/><Relationship Type="http://schemas.openxmlformats.org/officeDocument/2006/relationships/hyperlink" Target="https://www.avito.ru/saratov?q=%D0%9F%D0%BB%D0%B8%D0%BD%D1%82%D1%83%D1%81%20%D0%BD%D0%B0%D0%BF%D0%BE%D0%BB%D1%8C%D0%BD%D1%8B%D0%B9" TargetMode="External" Id="rId16"/><Relationship Type="http://schemas.openxmlformats.org/officeDocument/2006/relationships/hyperlink" Target="https://samara.lemanapro.ru/product/porog-raznourovnevyy-kant-artens-skrytyy-17855099/" TargetMode="External" Id="rId17"/><Relationship Type="http://schemas.openxmlformats.org/officeDocument/2006/relationships/hyperlink" Target="https://tver.lemanapro.ru/product/porog-dlya-pola-raznourovnevyy-alyuminievyy-pr06-zakrytyy-krepezh-900x41-perepad-belyy-matovyy-91155692/" TargetMode="External" Id="rId18"/><Relationship Type="http://schemas.openxmlformats.org/officeDocument/2006/relationships/hyperlink" Target="https://lemanapro.ru/catalogue/porozhki-dlya-pola/raznourovnevye/" TargetMode="External" Id="rId19"/><Relationship Type="http://schemas.openxmlformats.org/officeDocument/2006/relationships/hyperlink" Target="https://www.avito.ru/saratov?q=%D0%9F%D0%BE%D1%80%D0%BE%D0%B6%D0%BA%D0%B8%2C%20%D1%81%D1%82%D1%8B%D0%BA%D0%B8%20%D0%BF%D0%BB%D0%B8%D1%82%D0%BA%D0%B0%E2%80%93%D0%BB%D0%B0%D0%BC%D0%B8%D0%BD%D0%B0%D1%82" TargetMode="External" Id="rId20"/><Relationship Type="http://schemas.openxmlformats.org/officeDocument/2006/relationships/hyperlink" Target="https://potolki-rvs.ru/ceny" TargetMode="External" Id="rId21"/><Relationship Type="http://schemas.openxmlformats.org/officeDocument/2006/relationships/hyperlink" Target="https://superpotolok.ru/ceny/" TargetMode="External" Id="rId22"/><Relationship Type="http://schemas.openxmlformats.org/officeDocument/2006/relationships/hyperlink" Target="https://potolki-rvs.ru/ceny" TargetMode="External" Id="rId23"/><Relationship Type="http://schemas.openxmlformats.org/officeDocument/2006/relationships/hyperlink" Target="https://www.avito.ru/saratov?q=%D0%9D%D0%B0%D1%82%D1%8F%D0%B6%D0%BD%D0%BE%D0%B9%20%D0%BF%D0%BE%D1%82%D0%BE%D0%BB%D0%BE%D0%BA%20%D1%81%20%D0%BC%D0%BE%D0%BD%D1%82%D0%B0%D0%B6%D0%BE%D0%BC%20%C2%AB%D0%BF%D0%BE%D0%B4%20%D0%BA%D0%BB%D1%8E%D1%87%C2%BB" TargetMode="External" Id="rId24"/><Relationship Type="http://schemas.openxmlformats.org/officeDocument/2006/relationships/hyperlink" Target="https://potolki-rvs.ru/ceny" TargetMode="External" Id="rId25"/><Relationship Type="http://schemas.openxmlformats.org/officeDocument/2006/relationships/hyperlink" Target="https://superpotolok.ru/ceny/" TargetMode="External" Id="rId26"/><Relationship Type="http://schemas.openxmlformats.org/officeDocument/2006/relationships/hyperlink" Target="https://potolki-rvs.ru/potolki/nisha-pod-karniz.html" TargetMode="External" Id="rId27"/><Relationship Type="http://schemas.openxmlformats.org/officeDocument/2006/relationships/hyperlink" Target="https://www.avito.ru/saratov?q=%D0%97%D0%B0%D0%BA%D0%BB%D0%B0%D0%B4%D0%BD%D1%8B%D0%B5%20%D0%BF%D0%BE%D0%B4%20%D0%BB%D1%8E%D1%81%D1%82%D1%80%D1%8B%2C%20%D0%BA%D0%B0%D1%80%D0%BD%D0%B8%D0%B7%D1%8B" TargetMode="External" Id="rId28"/><Relationship Type="http://schemas.openxmlformats.org/officeDocument/2006/relationships/hyperlink" Target="https://www.lampoved.ru/kabeli/vvgng/vvgngls315" TargetMode="External" Id="rId29"/><Relationship Type="http://schemas.openxmlformats.org/officeDocument/2006/relationships/hyperlink" Target="https://rs24.ru/product/2962068" TargetMode="External" Id="rId30"/><Relationship Type="http://schemas.openxmlformats.org/officeDocument/2006/relationships/hyperlink" Target="https://www.etm.ru/cat/nn/9729228" TargetMode="External" Id="rId31"/><Relationship Type="http://schemas.openxmlformats.org/officeDocument/2006/relationships/hyperlink" Target="https://www.avito.ru/saratov?q=%D0%9A%D0%B0%D0%B1%D0%B5%D0%BB%D1%8C%20%D0%92%D0%92%D0%93%D0%BD%D0%B3-LS%20%2B%20%D0%B3%D0%BE%D1%84%D1%80%D0%B0%20%D0%B4%D0%BB%D1%8F%20%D0%BF%D0%BE%D1%82%D0%BE%D0%BB%D0%BE%D1%87%D0%BD%D1%8B%D1%85%20%D0%BB%D0%B8%D0%BD%D0%B8%D0%B9" TargetMode="External" Id="rId32"/><Relationship Type="http://schemas.openxmlformats.org/officeDocument/2006/relationships/hyperlink" Target="https://www.vseinstrumenti.ru/electrika-i-svet/svetilniki/nastenno-potolochnye/nakladnye/ecola/gx53-dgx5318-legkij-belyj-svetilnik-18x83-fw53ffecd/" TargetMode="External" Id="rId33"/><Relationship Type="http://schemas.openxmlformats.org/officeDocument/2006/relationships/hyperlink" Target="https://saratov.lemanapro.ru/product/svetilnik-tochechnyy-svetodiodnyy-vstraivaemyy-apeyron-06-17-pod-otverstie-85-mm-88110327/" TargetMode="External" Id="rId34"/><Relationship Type="http://schemas.openxmlformats.org/officeDocument/2006/relationships/hyperlink" Target="https://lemanapro.ru/catalogue/trekovye-sistemy-osveshcheniya/magnitnye-vstraivaemye/" TargetMode="External" Id="rId35"/><Relationship Type="http://schemas.openxmlformats.org/officeDocument/2006/relationships/hyperlink" Target="https://www.avito.ru/saratov?q=%D0%A1%D0%B2%D0%B5%D1%82%D0%B8%D0%BB%D1%8C%D0%BD%D0%B8%D0%BA%D0%B8%20%D0%BF%D0%BE%D1%82%D0%BE%D0%BB%D0%BE%D1%87%D0%BD%D1%8B%D0%B5" TargetMode="External" Id="rId36"/><Relationship Type="http://schemas.openxmlformats.org/officeDocument/2006/relationships/hyperlink" Target="https://www.profkom64.ru/product/gipsokarton/gips-12-5-mm/" TargetMode="External" Id="rId37"/><Relationship Type="http://schemas.openxmlformats.org/officeDocument/2006/relationships/hyperlink" Target="https://www.profkom64.ru/product/gipsokarton/gips-12-5-mm/" TargetMode="External" Id="rId38"/><Relationship Type="http://schemas.openxmlformats.org/officeDocument/2006/relationships/hyperlink" Target="https://www.profkom64.ru/product/gipsokarton/gips-12-5-mm/" TargetMode="External" Id="rId39"/><Relationship Type="http://schemas.openxmlformats.org/officeDocument/2006/relationships/hyperlink" Target="https://www.avito.ru/saratov?q=%D0%9D%D0%B8%D1%88%D0%B0%20%D0%93%D0%9A%D0%9B%20%D0%BF%D0%BE%D0%B4%20%D1%81%D0%BA%D1%80%D1%8B%D1%82%D1%8B%D0%B9%20%D0%BA%D0%B0%D1%80%D0%BD%D0%B8%D0%B7" TargetMode="External" Id="rId40"/><Relationship Type="http://schemas.openxmlformats.org/officeDocument/2006/relationships/hyperlink" Target="https://saratov.santehnica.ru/product/1491701.html" TargetMode="External" Id="rId41"/><Relationship Type="http://schemas.openxmlformats.org/officeDocument/2006/relationships/hyperlink" Target="https://saratov.santehnica.ru/product/357399.html" TargetMode="External" Id="rId42"/><Relationship Type="http://schemas.openxmlformats.org/officeDocument/2006/relationships/hyperlink" Target="https://saratov.santehnica.ru/product/1034211.html" TargetMode="External" Id="rId43"/><Relationship Type="http://schemas.openxmlformats.org/officeDocument/2006/relationships/hyperlink" Target="https://www.avito.ru/saratov?q=%D0%A3%D0%BD%D0%B8%D1%82%D0%B0%D0%B7" TargetMode="External" Id="rId44"/><Relationship Type="http://schemas.openxmlformats.org/officeDocument/2006/relationships/hyperlink" Target="https://saratov.santehnica.ru/product/80957.html" TargetMode="External" Id="rId45"/><Relationship Type="http://schemas.openxmlformats.org/officeDocument/2006/relationships/hyperlink" Target="https://saratov.santehnica.ru/product/200516.html" TargetMode="External" Id="rId46"/><Relationship Type="http://schemas.openxmlformats.org/officeDocument/2006/relationships/hyperlink" Target="https://saratov.santehnica.ru/product/316111.html" TargetMode="External" Id="rId47"/><Relationship Type="http://schemas.openxmlformats.org/officeDocument/2006/relationships/hyperlink" Target="https://www.avito.ru/saratov?q=%D0%A0%D0%B0%D0%BA%D0%BE%D0%B2%D0%B8%D0%BD%D0%B0" TargetMode="External" Id="rId48"/><Relationship Type="http://schemas.openxmlformats.org/officeDocument/2006/relationships/hyperlink" Target="https://santehnika-online.ru/product/smesitel_lemark_plus_advance_lm1206c_dlya_rakoviny/" TargetMode="External" Id="rId49"/><Relationship Type="http://schemas.openxmlformats.org/officeDocument/2006/relationships/hyperlink" Target="https://saratov.santehnica.ru/product/105713.html" TargetMode="External" Id="rId50"/><Relationship Type="http://schemas.openxmlformats.org/officeDocument/2006/relationships/hyperlink" Target="https://entero.ru/item/159848" TargetMode="External" Id="rId51"/><Relationship Type="http://schemas.openxmlformats.org/officeDocument/2006/relationships/hyperlink" Target="https://www.avito.ru/saratov?q=%D0%A1%D0%BC%D0%B5%D1%81%D0%B8%D1%82%D0%B5%D0%BB%D1%8C%20%D0%B4%D0%BB%D1%8F%20%D1%80%D0%B0%D0%BA%D0%BE%D0%B2%D0%B8%D0%BD%D1%8B" TargetMode="External" Id="rId52"/><Relationship Type="http://schemas.openxmlformats.org/officeDocument/2006/relationships/hyperlink" Target="https://saratov.lemanapro.ru/catalogue/sifony/butylochnye-dlya-rakoviny/" TargetMode="External" Id="rId53"/><Relationship Type="http://schemas.openxmlformats.org/officeDocument/2006/relationships/hyperlink" Target="https://www.ozon.ru/category/sifony-dlya-santehniki-10312/unicorn-87304659/" TargetMode="External" Id="rId54"/><Relationship Type="http://schemas.openxmlformats.org/officeDocument/2006/relationships/hyperlink" Target="https://market.yandex.ru/category/sifony-dlya-rakovin" TargetMode="External" Id="rId55"/><Relationship Type="http://schemas.openxmlformats.org/officeDocument/2006/relationships/hyperlink" Target="https://www.avito.ru/saratov?q=%D0%A1%D0%B8%D1%84%D0%BE%D0%BD%20%2B%20%D0%BF%D0%BE%D0%B4%D0%B2%D0%BE%D0%B4%D0%BA%D0%B8%20%D0%B4%D0%BB%D1%8F%20%D1%80%D0%B0%D0%BA%D0%BE%D0%B2%D0%B8%D0%BD%D1%8B" TargetMode="External" Id="rId56"/><Relationship Type="http://schemas.openxmlformats.org/officeDocument/2006/relationships/hyperlink" Target="https://saratov.lemanapro.ru/set/tumba-pod-rakovinu-ruan-napolnaya-57-sm-cvet-belyy-dub-sonoma-s-rakovinoy-cersanit-colour-keramika-60-sm-cvet-belyy-89432379/" TargetMode="External" Id="rId57"/><Relationship Type="http://schemas.openxmlformats.org/officeDocument/2006/relationships/hyperlink" Target="https://saratov.santehnica.ru/product/54261.html" TargetMode="External" Id="rId58"/><Relationship Type="http://schemas.openxmlformats.org/officeDocument/2006/relationships/hyperlink" Target="https://saratov.santehnica.ru/product/350955.html" TargetMode="External" Id="rId59"/><Relationship Type="http://schemas.openxmlformats.org/officeDocument/2006/relationships/hyperlink" Target="https://www.avito.ru/saratov?q=%D0%A2%D1%83%D0%BC%D0%B1%D0%B0%20%D0%BF%D0%BE%D0%B4%20%D1%80%D0%B0%D0%BA%D0%BE%D0%B2%D0%B8%D0%BD%D1%83" TargetMode="External" Id="rId60"/><Relationship Type="http://schemas.openxmlformats.org/officeDocument/2006/relationships/hyperlink" Target="https://saratov.santehnica.ru/product/350555.html" TargetMode="External" Id="rId61"/><Relationship Type="http://schemas.openxmlformats.org/officeDocument/2006/relationships/hyperlink" Target="https://wodolei.ru/catalog/dushevie_paneli/lemark-tropic-lm7002c-161890-item/" TargetMode="External" Id="rId62"/><Relationship Type="http://schemas.openxmlformats.org/officeDocument/2006/relationships/hyperlink" Target="https://saratov.santehnica.ru/product/100552.html" TargetMode="External" Id="rId63"/><Relationship Type="http://schemas.openxmlformats.org/officeDocument/2006/relationships/hyperlink" Target="https://www.avito.ru/saratov?q=%D0%A1%D0%BC%D0%B5%D1%81%D0%B8%D1%82%D0%B5%D0%BB%D1%8C%20%D0%B4%D0%BB%D1%8F%20%D0%B4%D1%83%D1%88%D0%B0%20%2B%20%D0%B4%D1%83%D1%88%D0%B5%D0%B2%D0%B0%D1%8F%20%D1%81%D1%82%D0%BE%D0%B9%D0%BA%D0%B0" TargetMode="External" Id="rId64"/><Relationship Type="http://schemas.openxmlformats.org/officeDocument/2006/relationships/hyperlink" Target="https://saratov.lemanapro.ru/catalogue/shtorki-dlya-vannoy/" TargetMode="External" Id="rId65"/><Relationship Type="http://schemas.openxmlformats.org/officeDocument/2006/relationships/hyperlink" Target="https://art-line.ru/dushevyie-peregorodki.html" TargetMode="External" Id="rId66"/><Relationship Type="http://schemas.openxmlformats.org/officeDocument/2006/relationships/hyperlink" Target="https://art-line.ru/dushevyie-peregorodki.html" TargetMode="External" Id="rId67"/><Relationship Type="http://schemas.openxmlformats.org/officeDocument/2006/relationships/hyperlink" Target="https://www.avito.ru/saratov?q=%D0%9E%D0%B3%D1%80%D0%B0%D0%B6%D0%B4%D0%B5%D0%BD%D0%B8%D0%B5%20%D0%B4%D1%83%D1%88%D0%B5%D0%B2%D0%BE%D0%B3%D0%BE%20%D0%BF%D0%BE%D0%B4%D0%B8%D1%83%D0%BC%D0%B0" TargetMode="External" Id="rId68"/><Relationship Type="http://schemas.openxmlformats.org/officeDocument/2006/relationships/hyperlink" Target="https://lemanapro.ru/product/gigienicheskiy-dush-so-smesitelem-shevanik-s9905t-1-91477406/" TargetMode="External" Id="rId69"/><Relationship Type="http://schemas.openxmlformats.org/officeDocument/2006/relationships/hyperlink" Target="https://saratov.santehnica.ru/product/88648.html" TargetMode="External" Id="rId70"/><Relationship Type="http://schemas.openxmlformats.org/officeDocument/2006/relationships/hyperlink" Target="https://saratov.santehnica.ru/product/462683.html" TargetMode="External" Id="rId71"/><Relationship Type="http://schemas.openxmlformats.org/officeDocument/2006/relationships/hyperlink" Target="https://www.avito.ru/saratov?q=%D0%93%D0%B8%D0%B3%D0%B8%D0%B5%D0%BD%D0%B8%D1%87%D0%B5%D1%81%D0%BA%D0%B8%D0%B9%20%D0%B4%D1%83%D1%88" TargetMode="External" Id="rId72"/><Relationship Type="http://schemas.openxmlformats.org/officeDocument/2006/relationships/hyperlink" Target="https://saratov.santehnica.ru/product/101158.html" TargetMode="External" Id="rId73"/><Relationship Type="http://schemas.openxmlformats.org/officeDocument/2006/relationships/hyperlink" Target="https://saratov.santehnica.ru/product/262819.html" TargetMode="External" Id="rId74"/><Relationship Type="http://schemas.openxmlformats.org/officeDocument/2006/relationships/hyperlink" Target="https://saratov.santehnica.ru/product/815401.html" TargetMode="External" Id="rId75"/><Relationship Type="http://schemas.openxmlformats.org/officeDocument/2006/relationships/hyperlink" Target="https://www.avito.ru/saratov?q=%D0%9F%D0%BE%D0%BB%D0%BE%D1%82%D0%B5%D0%BD%D1%86%D0%B5%D1%81%D1%83%D1%88%D0%B8%D1%82%D0%B5%D0%BB%D1%8C%20%D1%8D%D0%BB%D0%B5%D0%BA%D1%82%D1%80%D0%B8%D1%87%D0%B5%D1%81%D0%BA%D0%B8%D0%B9" TargetMode="External" Id="rId76"/><Relationship Type="http://schemas.openxmlformats.org/officeDocument/2006/relationships/hyperlink" Target="https://saratov.santehnica.ru/product/143402.html" TargetMode="External" Id="rId77"/><Relationship Type="http://schemas.openxmlformats.org/officeDocument/2006/relationships/hyperlink" Target="https://saratov.santehnica.ru/product/233414.html" TargetMode="External" Id="rId78"/><Relationship Type="http://schemas.openxmlformats.org/officeDocument/2006/relationships/hyperlink" Target="https://saratov.santehnica.ru/product/248752.html" TargetMode="External" Id="rId79"/><Relationship Type="http://schemas.openxmlformats.org/officeDocument/2006/relationships/hyperlink" Target="https://www.avito.ru/saratov?q=%D0%97%D0%B5%D1%80%D0%BA%D0%B0%D0%BB%D0%BE%20/%20%D0%B7%D0%B5%D1%80%D0%BA%D0%B0%D0%BB%D1%8C%D0%BD%D1%8B%D0%B9%20%D1%88%D0%BA%D0%B0%D1%84" TargetMode="External" Id="rId80"/><Relationship Type="http://schemas.openxmlformats.org/officeDocument/2006/relationships/hyperlink" Target="https://saratov.lemanapro.ru/catalogue/ventilyatory-vytyazhnye/100/" TargetMode="External" Id="rId81"/><Relationship Type="http://schemas.openxmlformats.org/officeDocument/2006/relationships/hyperlink" Target="https://www.e-katalog.ru/ELECTROLUX-RAINBOW-EAFR-100.htm" TargetMode="External" Id="rId82"/><Relationship Type="http://schemas.openxmlformats.org/officeDocument/2006/relationships/hyperlink" Target="https://vivaset.ru/products/solerpalau-silent-100-crz.html" TargetMode="External" Id="rId83"/><Relationship Type="http://schemas.openxmlformats.org/officeDocument/2006/relationships/hyperlink" Target="https://www.avito.ru/saratov?q=%D0%92%D0%B5%D0%BD%D1%82%D0%B8%D0%BB%D1%8F%D1%82%D0%BE%D1%80%20%D0%B2%D1%8B%D1%82%D1%8F%D0%B6%D0%BD%D0%BE%D0%B9" TargetMode="External" Id="rId84"/><Relationship Type="http://schemas.openxmlformats.org/officeDocument/2006/relationships/hyperlink" Target="https://saratov.santehnica.ru/brand/iddis/" TargetMode="External" Id="rId85"/><Relationship Type="http://schemas.openxmlformats.org/officeDocument/2006/relationships/hyperlink" Target="https://santehmoll.ru/product/basic_nabor_aksessuarov/" TargetMode="External" Id="rId86"/><Relationship Type="http://schemas.openxmlformats.org/officeDocument/2006/relationships/hyperlink" Target="https://top-santehnika.ru/product/nabor-aksessuarov-dlya-vanny-grohe-essentials-40344dc1/" TargetMode="External" Id="rId87"/><Relationship Type="http://schemas.openxmlformats.org/officeDocument/2006/relationships/hyperlink" Target="https://www.avito.ru/saratov?q=%D0%90%D0%BA%D1%81%D0%B5%D1%81%D1%81%D1%83%D0%B0%D1%80%D1%8B" TargetMode="External" Id="rId88"/><Relationship Type="http://schemas.openxmlformats.org/officeDocument/2006/relationships/hyperlink" Target="https://saratov.lemanapro.ru/catalogue/revizionnye-lyuki-otkrytogo-tipa/plastikovye/" TargetMode="External" Id="rId89"/><Relationship Type="http://schemas.openxmlformats.org/officeDocument/2006/relationships/hyperlink" Target="https://www.vseinstrumenti.ru/category/revizionnye-lyuki-171513/hammer-2068594/" TargetMode="External" Id="rId90"/><Relationship Type="http://schemas.openxmlformats.org/officeDocument/2006/relationships/hyperlink" Target="https://klin.lemanapro.ru/product/lyuk-revizionnyy-skrytyy-nazhimnoy-hammer-slava-alyuminiy-60x60sm-90162136/" TargetMode="External" Id="rId91"/><Relationship Type="http://schemas.openxmlformats.org/officeDocument/2006/relationships/hyperlink" Target="https://www.avito.ru/saratov?q=%D0%9B%D1%8E%D0%BA%20%D1%80%D0%B5%D0%B2%D0%B8%D0%B7%D0%B8%D0%BE%D0%BD%D0%BD%D1%8B%D0%B9%20%D0%BA%20%D0%BA%D0%BE%D0%BB%D0%BE%D0%BD%D0%BA%D0%B5/%D1%81%D1%82%D0%BE%D1%8F%D0%BA%D0%B0%D0%BC" TargetMode="External" Id="rId92"/><Relationship Type="http://schemas.openxmlformats.org/officeDocument/2006/relationships/hyperlink" Target="https://saratov.lemanapro.ru/catalogue/sharovye-krany/1-2-dyuyma/" TargetMode="External" Id="rId93"/><Relationship Type="http://schemas.openxmlformats.org/officeDocument/2006/relationships/hyperlink" Target="https://saratov.lemanapro.ru/catalogue/podvodka-dlya-vody/" TargetMode="External" Id="rId94"/><Relationship Type="http://schemas.openxmlformats.org/officeDocument/2006/relationships/hyperlink" Target="https://saratov.lemanapro.ru/catalogue/sharovye-krany/1-2-dyuyma/" TargetMode="External" Id="rId95"/><Relationship Type="http://schemas.openxmlformats.org/officeDocument/2006/relationships/hyperlink" Target="https://www.avito.ru/saratov?q=%D0%A0%D0%B0%D1%81%D1%85%D0%BE%D0%B4%D0%BD%D0%B8%D0%BA%D0%B8" TargetMode="External" Id="rId96"/><Relationship Type="http://schemas.openxmlformats.org/officeDocument/2006/relationships/hyperlink" Target="https://schneider-pro.ru/products/rozetki-elektricheskie-schneider-electric-gsl000143.html" TargetMode="External" Id="rId97"/><Relationship Type="http://schemas.openxmlformats.org/officeDocument/2006/relationships/hyperlink" Target="https://rs24.ru/product/2167931" TargetMode="External" Id="rId98"/><Relationship Type="http://schemas.openxmlformats.org/officeDocument/2006/relationships/hyperlink" Target="https://www.elektro.ru/product/silovaya_rozetka_2kz_16a_250v_s_zashchit_sht_bezvint_zazhimy_s_lits_panelyu_belyy_valena_life/" TargetMode="External" Id="rId99"/><Relationship Type="http://schemas.openxmlformats.org/officeDocument/2006/relationships/hyperlink" Target="https://www.avito.ru/saratov?q=%D0%A0%D0%BE%D0%B7%D0%B5%D1%82%D0%BA%D0%B0" TargetMode="External" Id="rId100"/><Relationship Type="http://schemas.openxmlformats.org/officeDocument/2006/relationships/hyperlink" Target="https://schneider-store.ru/rozyetki-i-vyklyuchatyeli/glossa/SCGSL000161/" TargetMode="External" Id="rId101"/><Relationship Type="http://schemas.openxmlformats.org/officeDocument/2006/relationships/hyperlink" Target="https://www.etm.ru/cat/nn/2857614" TargetMode="External" Id="rId102"/><Relationship Type="http://schemas.openxmlformats.org/officeDocument/2006/relationships/hyperlink" Target="https://jung-pro.ru/vyiklyuchateli/series-a_550/" TargetMode="External" Id="rId103"/><Relationship Type="http://schemas.openxmlformats.org/officeDocument/2006/relationships/hyperlink" Target="https://www.avito.ru/saratov?q=%D0%92%D1%8B%D0%BA%D0%BB%D1%8E%D1%87%D0%B0%D1%82%D0%B5%D0%BB%D1%8C" TargetMode="External" Id="rId104"/><Relationship Type="http://schemas.openxmlformats.org/officeDocument/2006/relationships/hyperlink" Target="https://www.etm.ru/cat/nn/275807" TargetMode="External" Id="rId105"/><Relationship Type="http://schemas.openxmlformats.org/officeDocument/2006/relationships/hyperlink" Target="https://electrobufet.ru/products/wl04-frame-01-white" TargetMode="External" Id="rId106"/><Relationship Type="http://schemas.openxmlformats.org/officeDocument/2006/relationships/hyperlink" Target="https://jungstore.ru/a-550/ramki/" TargetMode="External" Id="rId107"/><Relationship Type="http://schemas.openxmlformats.org/officeDocument/2006/relationships/hyperlink" Target="https://www.avito.ru/saratov?q=%D0%A0%D0%B0%D0%BC%D0%BA%D0%B8" TargetMode="External" Id="rId108"/><Relationship Type="http://schemas.openxmlformats.org/officeDocument/2006/relationships/hyperlink" Target="https://lemanapro.ru/product/podrozetnik-pod-beton-kirpich-68x45-mm-18539881/" TargetMode="External" Id="rId109"/><Relationship Type="http://schemas.openxmlformats.org/officeDocument/2006/relationships/hyperlink" Target="https://lemanapro.ru/catalogue/podrozetniki/pod-gipsokarton/" TargetMode="External" Id="rId110"/><Relationship Type="http://schemas.openxmlformats.org/officeDocument/2006/relationships/hyperlink" Target="https://saratov.lemanapro.ru/product/podrozetnik-systeme-electric-pod-gipsokarton-68x47-mm-cvet-zheltyy-12468073/" TargetMode="External" Id="rId111"/><Relationship Type="http://schemas.openxmlformats.org/officeDocument/2006/relationships/hyperlink" Target="https://www.avito.ru/saratov?q=%D0%9F%D0%BE%D0%B4%D1%80%D0%BE%D0%B7%D0%B5%D1%82%D0%BD%D0%B8%D0%BA%D0%B8" TargetMode="External" Id="rId112"/><Relationship Type="http://schemas.openxmlformats.org/officeDocument/2006/relationships/hyperlink" Target="https://www.21vek-220v.ru/cat/mkp12n244010-boks-shhrnp24modulya-navesnoj-plastik-ip40-iek" TargetMode="External" Id="rId113"/><Relationship Type="http://schemas.openxmlformats.org/officeDocument/2006/relationships/hyperlink" Target="https://schneider-pro.ru/products/schneider-electric-ez9f34116.html" TargetMode="External" Id="rId114"/><Relationship Type="http://schemas.openxmlformats.org/officeDocument/2006/relationships/hyperlink" Target="https://elektro-tovars.ru/catalog/dif-avtomaty-uzo/dif-avtomaty-abb/ds-201/ds201-c16a" TargetMode="External" Id="rId115"/><Relationship Type="http://schemas.openxmlformats.org/officeDocument/2006/relationships/hyperlink" Target="https://www.avito.ru/saratov?q=%D0%A9%D0%B8%D1%82%20%D0%B2%20%D1%81%D0%B1%D0%BE%D1%80%D0%B5" TargetMode="External" Id="rId116"/><Relationship Type="http://schemas.openxmlformats.org/officeDocument/2006/relationships/hyperlink" Target="https://rs24.ru/product/19851" TargetMode="External" Id="rId117"/><Relationship Type="http://schemas.openxmlformats.org/officeDocument/2006/relationships/hyperlink" Target="https://rs24.ru/product/19851" TargetMode="External" Id="rId118"/><Relationship Type="http://schemas.openxmlformats.org/officeDocument/2006/relationships/hyperlink" Target="https://www.volt64.ru/el/provod-i-kabel/silovoy-kabel-vvg-vvgng-vvgng-ls" TargetMode="External" Id="rId119"/><Relationship Type="http://schemas.openxmlformats.org/officeDocument/2006/relationships/hyperlink" Target="https://rs24.ru/product/19851" TargetMode="External" Id="rId120"/><Relationship Type="http://schemas.openxmlformats.org/officeDocument/2006/relationships/hyperlink" Target="https://www.avito.ru/saratov?q=%D0%9A%D0%B0%D0%B1%D0%B5%D0%BB%D1%8C%20%D0%BD%D0%B0%20%D0%B4%D0%BE%D0%B4%D0%B5%D0%BB%D0%BA%D1%83%20%D0%BB%D0%B8%D0%BD%D0%B8%D0%B9" TargetMode="External" Id="rId121"/><Relationship Type="http://schemas.openxmlformats.org/officeDocument/2006/relationships/hyperlink" Target="https://www.etm.ru/cat/nn/5998471" TargetMode="External" Id="rId122"/><Relationship Type="http://schemas.openxmlformats.org/officeDocument/2006/relationships/hyperlink" Target="https://www.etm.ru/cat/nn/9727500" TargetMode="External" Id="rId123"/><Relationship Type="http://schemas.openxmlformats.org/officeDocument/2006/relationships/hyperlink" Target="https://www.volt64.ru/el/provod-i-kabel/silovoy-kabel-vvg-vvgng-vvgng-ls" TargetMode="External" Id="rId124"/><Relationship Type="http://schemas.openxmlformats.org/officeDocument/2006/relationships/hyperlink" Target="https://www.etm.ru/cat/nn/3215899" TargetMode="External" Id="rId125"/><Relationship Type="http://schemas.openxmlformats.org/officeDocument/2006/relationships/hyperlink" Target="https://www.avito.ru/saratov?q=%D0%92%D1%8B%D0%B4%D0%B5%D0%BB%D0%B5%D0%BD%D0%BD%D0%B0%D1%8F%20%D0%BB%D0%B8%D0%BD%D0%B8%D1%8F%20%D0%BD%D0%B0%20%D1%8D%D0%BB%D0%B5%D0%BA%D1%82%D1%80%D0%BE%D0%B2%D0%B0%D1%80%D0%BE%D1%87%D0%BD%D1%83%D1%8E" TargetMode="External" Id="rId126"/><Relationship Type="http://schemas.openxmlformats.org/officeDocument/2006/relationships/hyperlink" Target="https://lemanapro.ru/product/oboi-flizelinovye-erismann-light-4-serye-106-m-60271-06-82738671/" TargetMode="External" Id="rId127"/><Relationship Type="http://schemas.openxmlformats.org/officeDocument/2006/relationships/hyperlink" Target="https://www.oboykin.ru/catalog/germany/marburg/botanica/33004/" TargetMode="External" Id="rId128"/><Relationship Type="http://schemas.openxmlformats.org/officeDocument/2006/relationships/hyperlink" Target="https://interyerus.ru/oboi/f/brand-marburg/material-flizelin/" TargetMode="External" Id="rId129"/><Relationship Type="http://schemas.openxmlformats.org/officeDocument/2006/relationships/hyperlink" Target="https://www.avito.ru/saratov?q=%D0%9E%D0%B1%D0%BE%D0%B8" TargetMode="External" Id="rId130"/><Relationship Type="http://schemas.openxmlformats.org/officeDocument/2006/relationships/hyperlink" Target="https://saratov.lemanapro.ru/catalogue/kley-dlya-oboev/flizelinovye/" TargetMode="External" Id="rId131"/><Relationship Type="http://schemas.openxmlformats.org/officeDocument/2006/relationships/hyperlink" Target="https://saratov.lemanapro.ru/product/kley-dlya-flizelinovyh-oboev-metylan-flizelin-ekstra-komfort-s-indikatorom-54-m-88893764/" TargetMode="External" Id="rId132"/><Relationship Type="http://schemas.openxmlformats.org/officeDocument/2006/relationships/hyperlink" Target="https://saratov.lemanapro.ru/catalogue/kley-dlya-oboev/flizelinovye/" TargetMode="External" Id="rId133"/><Relationship Type="http://schemas.openxmlformats.org/officeDocument/2006/relationships/hyperlink" Target="https://www.avito.ru/saratov?q=%D0%9A%D0%BB%D0%B5%D0%B9%2C%20%D0%B3%D1%80%D1%83%D0%BD%D1%82%2C%20%D0%BC%D0%B0%D0%BB%D1%8F%D1%80%D0%BD%D1%8B%D0%B5%20%D1%80%D0%B0%D1%81%D1%85%D0%BE%D0%B4%D0%BD%D0%B8%D0%BA%D0%B8" TargetMode="External" Id="rId134"/><Relationship Type="http://schemas.openxmlformats.org/officeDocument/2006/relationships/hyperlink" Target="https://saratov.lemanapro.ru/catalogue/paneli-mdf/reyki-mdf/" TargetMode="External" Id="rId135"/><Relationship Type="http://schemas.openxmlformats.org/officeDocument/2006/relationships/hyperlink" Target="https://microcement-pol.ru/tsenyi/stena-iz-mikrocementa-cena-za-m2" TargetMode="External" Id="rId136"/><Relationship Type="http://schemas.openxmlformats.org/officeDocument/2006/relationships/hyperlink" Target="https://www.avito.ru/saratov?q=%D0%90%D0%BA%D1%86%D0%B5%D0%BD%D1%82%D0%BD%D0%B0%D1%8F%20%D1%81%D1%82%D0%B5%D0%BD%D0%B0%20%E2%80%94%20%D0%B7%D0%B0%D0%BB%20%D0%B8%20%D0%B4%D0%B5%D1%82%D1%81%D0%BA%D0%B0%D1%8F" TargetMode="External" Id="rId137"/><Relationship Type="http://schemas.openxmlformats.org/officeDocument/2006/relationships/hyperlink" Target="https://lemanapro.ru/product/dver-mezhkomnatnaya-gluhaya-artens-magnoliya-80x200-sm-pvh-cvet-akaciya-s-zamkom-i-petlyami-83851427/" TargetMode="External" Id="rId138"/><Relationship Type="http://schemas.openxmlformats.org/officeDocument/2006/relationships/hyperlink" Target="https://stroycenter64.ru/catalogue/dveri/mezhkomnatnye_dveri/ekoshpon/" TargetMode="External" Id="rId139"/><Relationship Type="http://schemas.openxmlformats.org/officeDocument/2006/relationships/hyperlink" Target="https://saratov.estetdveri.ru/catalog/mezhkomnatnye-dveri/" TargetMode="External" Id="rId140"/><Relationship Type="http://schemas.openxmlformats.org/officeDocument/2006/relationships/hyperlink" Target="https://www.avito.ru/saratov?q=%D0%94%D0%B2%D0%B5%D1%80%D1%8C%20%D1%81%D1%82%D0%B0%D0%BD%D0%B4%D0%B0%D1%80%D1%82%D0%BD%D0%B0%D1%8F%20800%20%D0%BC%D0%BC" TargetMode="External" Id="rId141"/><Relationship Type="http://schemas.openxmlformats.org/officeDocument/2006/relationships/hyperlink" Target="https://saratov.lemanapro.ru/catalogue/mezhkomnatnye-dveri/" TargetMode="External" Id="rId142"/><Relationship Type="http://schemas.openxmlformats.org/officeDocument/2006/relationships/hyperlink" Target="https://dver1.ru/catalog/razmery-1200x2000/" TargetMode="External" Id="rId143"/><Relationship Type="http://schemas.openxmlformats.org/officeDocument/2006/relationships/hyperlink" Target="https://saratov.estetdveri.ru/catalog/mezhkomnatnye-dveri/" TargetMode="External" Id="rId144"/><Relationship Type="http://schemas.openxmlformats.org/officeDocument/2006/relationships/hyperlink" Target="https://www.avito.ru/saratov?q=%D0%94%D0%B2%D0%B5%D1%80%D1%8C%20%D1%88%D0%B8%D1%80%D0%BE%D0%BA%D0%B0%D1%8F%20%D0%B2%20%D0%B4%D0%B5%D1%82%D1%81%D0%BA%D1%83%D1%8E" TargetMode="External" Id="rId145"/><Relationship Type="http://schemas.openxmlformats.org/officeDocument/2006/relationships/hyperlink" Target="https://saratov.lemanapro.ru/catalogue/dvernye-korobki-nalichniki-i-dobory/dobory-dvernye-100-mm/" TargetMode="External" Id="rId146"/><Relationship Type="http://schemas.openxmlformats.org/officeDocument/2006/relationships/hyperlink" Target="https://saratov.lemanapro.ru/catalogue/dobory/na-mezhkomnatnye-dveri/" TargetMode="External" Id="rId147"/><Relationship Type="http://schemas.openxmlformats.org/officeDocument/2006/relationships/hyperlink" Target="https://saratov.estetdveri.ru/catalog/mezhkomnatnye-dveri/" TargetMode="External" Id="rId148"/><Relationship Type="http://schemas.openxmlformats.org/officeDocument/2006/relationships/hyperlink" Target="https://www.avito.ru/saratov?q=%D0%94%D0%BE%D0%B1%D0%BE%D1%80%D1%8B%2C%20%D0%BF%D0%BE%D1%80%D0%BE%D0%B6%D0%BA%D0%B8%2C%20%D1%83%D0%BF%D0%BB%D0%BE%D1%82%D0%BD%D0%B8%D1%82%D0%B5%D0%BB%D0%B8" TargetMode="External" Id="rId149"/><Relationship Type="http://schemas.openxmlformats.org/officeDocument/2006/relationships/hyperlink" Target="https://saratov.korona-remont.ru/prices" TargetMode="External" Id="rId150"/><Relationship Type="http://schemas.openxmlformats.org/officeDocument/2006/relationships/hyperlink" Target="https://remo64.ru/price_otdelka.php" TargetMode="External" Id="rId151"/><Relationship Type="http://schemas.openxmlformats.org/officeDocument/2006/relationships/hyperlink" Target="https://saratov.proff-remont.ru/ceny/" TargetMode="External" Id="rId152"/><Relationship Type="http://schemas.openxmlformats.org/officeDocument/2006/relationships/hyperlink" Target="https://www.avito.ru/saratov/predlozheniya_uslug?q=%D0%9F%D0%BE%D0%B4%D0%B3%D0%BE%D1%82%D0%BE%D0%B2%D0%BA%D0%B0%20%D0%BE%D1%81%D0%BD%D0%BE%D0%B2%D0%B0%D0%BD%D0%B8%D1%8F%20%D0%BF%D0%BE%D0%BB%D0%B0%20%D0%A1%D0%B0%D1%80%D0%B0%D1%82%D0%BE%D0%B2" TargetMode="External" Id="rId153"/><Relationship Type="http://schemas.openxmlformats.org/officeDocument/2006/relationships/hyperlink" Target="https://profi.ru/geo-saratov/remont/pol/ukladka-laminata/price/" TargetMode="External" Id="rId154"/><Relationship Type="http://schemas.openxmlformats.org/officeDocument/2006/relationships/hyperlink" Target="https://saratov.d-mastera.ru/tsena-za-ukladku-m2-laminata-i-linoleuma/" TargetMode="External" Id="rId155"/><Relationship Type="http://schemas.openxmlformats.org/officeDocument/2006/relationships/hyperlink" Target="https://saratov.s5r.ru/ukladka-laminata" TargetMode="External" Id="rId156"/><Relationship Type="http://schemas.openxmlformats.org/officeDocument/2006/relationships/hyperlink" Target="https://www.avito.ru/saratov/predlozheniya_uslug?q=%D0%A3%D0%BA%D0%BB%D0%B0%D0%B4%D0%BA%D0%B0%20%D0%BD%D0%B0%D0%BF%D0%BE%D0%BB%D1%8C%D0%BD%D0%BE%D0%B3%D0%BE%20%D0%BF%D0%BE%D0%BA%D1%80%D1%8B%D1%82%D0%B8%D1%8F%20%D0%A1%D0%B0%D1%80%D0%B0%D1%82%D0%BE%D0%B2" TargetMode="External" Id="rId157"/><Relationship Type="http://schemas.openxmlformats.org/officeDocument/2006/relationships/hyperlink" Target="https://saratov.korona-remont.ru/prices" TargetMode="External" Id="rId158"/><Relationship Type="http://schemas.openxmlformats.org/officeDocument/2006/relationships/hyperlink" Target="https://remo64.ru/price_otdelka.php" TargetMode="External" Id="rId159"/><Relationship Type="http://schemas.openxmlformats.org/officeDocument/2006/relationships/hyperlink" Target="https://saratov.garantstroikompleks.ru/prajs-list" TargetMode="External" Id="rId160"/><Relationship Type="http://schemas.openxmlformats.org/officeDocument/2006/relationships/hyperlink" Target="https://www.avito.ru/saratov/predlozheniya_uslug?q=%D0%9C%D0%BE%D0%BD%D1%82%D0%B0%D0%B6%20%D0%BF%D0%BB%D0%B8%D0%BD%D1%82%D1%83%D1%81%D0%B0%20%D0%A1%D0%B0%D1%80%D0%B0%D1%82%D0%BE%D0%B2" TargetMode="External" Id="rId161"/><Relationship Type="http://schemas.openxmlformats.org/officeDocument/2006/relationships/hyperlink" Target="https://saratov.d-mastera.ru/tseny-na-elektromontazhnye-raboty/" TargetMode="External" Id="rId162"/><Relationship Type="http://schemas.openxmlformats.org/officeDocument/2006/relationships/hyperlink" Target="https://saratov.dom-electric.ru/price" TargetMode="External" Id="rId163"/><Relationship Type="http://schemas.openxmlformats.org/officeDocument/2006/relationships/hyperlink" Target="https://saratov.s5r.ru/ehlektromontazh" TargetMode="External" Id="rId164"/><Relationship Type="http://schemas.openxmlformats.org/officeDocument/2006/relationships/hyperlink" Target="https://www.avito.ru/saratov/predlozheniya_uslug?q=%D0%AD%D0%BB%D0%B5%D0%BA%D1%82%D1%80%D0%B8%D0%BA%D0%B0%20%D0%BF%D0%BE%D0%B4%20%D0%BF%D0%BE%D1%82%D0%BE%D0%BB%D0%BE%D0%BA%20%D0%A1%D0%B0%D1%80%D0%B0%D1%82%D0%BE%D0%B2" TargetMode="External" Id="rId165"/><Relationship Type="http://schemas.openxmlformats.org/officeDocument/2006/relationships/hyperlink" Target="https://saratov.korona-remont.ru/prices" TargetMode="External" Id="rId166"/><Relationship Type="http://schemas.openxmlformats.org/officeDocument/2006/relationships/hyperlink" Target="https://saratov.garantstroikompleks.ru/prajs-list" TargetMode="External" Id="rId167"/><Relationship Type="http://schemas.openxmlformats.org/officeDocument/2006/relationships/hyperlink" Target="https://potolki-rvs.ru/potolki/nisha-pod-karniz.html" TargetMode="External" Id="rId168"/><Relationship Type="http://schemas.openxmlformats.org/officeDocument/2006/relationships/hyperlink" Target="https://www.avito.ru/saratov/predlozheniya_uslug?q=%D0%9D%D0%B8%D1%88%D0%B0%20%D0%93%D0%9A%D0%9B%20%D0%BF%D0%BE%D0%B4%20%D1%81%D0%BA%D1%80%D1%8B%D1%82%D1%8B%D0%B9%20%D0%BA%D0%B0%D1%80%D0%BD%D0%B8%D0%B7%20%D0%A1%D0%B0%D1%80%D0%B0%D1%82%D0%BE%D0%B2" TargetMode="External" Id="rId169"/><Relationship Type="http://schemas.openxmlformats.org/officeDocument/2006/relationships/hyperlink" Target="https://potolki-rvs.ru/ceny" TargetMode="External" Id="rId170"/><Relationship Type="http://schemas.openxmlformats.org/officeDocument/2006/relationships/hyperlink" Target="https://potolki-rvs.ru/ceny" TargetMode="External" Id="rId171"/><Relationship Type="http://schemas.openxmlformats.org/officeDocument/2006/relationships/hyperlink" Target="https://potolki-rvs.ru/potolki/nisha-pod-karniz.html" TargetMode="External" Id="rId172"/><Relationship Type="http://schemas.openxmlformats.org/officeDocument/2006/relationships/hyperlink" Target="https://www.avito.ru/saratov/predlozheniya_uslug?q=%D0%9C%D0%BE%D0%BD%D1%82%D0%B0%D0%B6%20%D0%BD%D0%B0%D1%82%D1%8F%D0%B6%D0%BD%D0%BE%D0%B3%D0%BE%20%D0%BF%D0%BE%D1%82%D0%BE%D0%BB%D0%BA%D0%B0%20%D0%A1%D0%B0%D1%80%D0%B0%D1%82%D0%BE%D0%B2" TargetMode="External" Id="rId173"/><Relationship Type="http://schemas.openxmlformats.org/officeDocument/2006/relationships/hyperlink" Target="https://profi.ru/geo-saratov/remont/santehnika/montazh-santehnicheskogo-oborudovaniya/ustanovka-unitaza/" TargetMode="External" Id="rId174"/><Relationship Type="http://schemas.openxmlformats.org/officeDocument/2006/relationships/hyperlink" Target="https://saratov.d-mastera.ru/tseny-na-uslugi-santehnika/" TargetMode="External" Id="rId175"/><Relationship Type="http://schemas.openxmlformats.org/officeDocument/2006/relationships/hyperlink" Target="https://remo64.ru/price_san.php" TargetMode="External" Id="rId176"/><Relationship Type="http://schemas.openxmlformats.org/officeDocument/2006/relationships/hyperlink" Target="https://www.avito.ru/saratov/predlozheniya_uslug?q=%D0%A3%D1%81%D1%82%D0%B0%D0%BD%D0%BE%D0%B2%D0%BA%D0%B0%20%D1%83%D0%BD%D0%B8%D1%82%D0%B0%D0%B7%D0%B0%20%D0%A1%D0%B0%D1%80%D0%B0%D1%82%D0%BE%D0%B2" TargetMode="External" Id="rId177"/><Relationship Type="http://schemas.openxmlformats.org/officeDocument/2006/relationships/hyperlink" Target="https://saratov.korona-remont.ru/prices" TargetMode="External" Id="rId178"/><Relationship Type="http://schemas.openxmlformats.org/officeDocument/2006/relationships/hyperlink" Target="https://remo64.ru/price_san.php" TargetMode="External" Id="rId179"/><Relationship Type="http://schemas.openxmlformats.org/officeDocument/2006/relationships/hyperlink" Target="https://saratov.garantstroikompleks.ru/prajs-list" TargetMode="External" Id="rId180"/><Relationship Type="http://schemas.openxmlformats.org/officeDocument/2006/relationships/hyperlink" Target="https://www.avito.ru/saratov/predlozheniya_uslug?q=%D0%A3%D1%81%D1%82%D0%B0%D0%BD%D0%BE%D0%B2%D0%BA%D0%B0%20%D1%80%D0%B0%D0%BA%D0%BE%D0%B2%D0%B8%D0%BD%D1%8B%20%D1%81%D0%BE%20%D1%81%D0%BC%D0%B5%D1%81%D0%B8%D1%82%D0%B5%D0%BB%D0%B5%D0%BC%20%D0%B8%20%D1%82%D1%83%D0%BC%D0%B1%D0%BE%D0%B9%20%D0%A1%D0%B0%D1%80%D0%B0%D1%82%D0%BE%D0%B2" TargetMode="External" Id="rId181"/><Relationship Type="http://schemas.openxmlformats.org/officeDocument/2006/relationships/hyperlink" Target="https://saratov.korona-remont.ru/prices" TargetMode="External" Id="rId182"/><Relationship Type="http://schemas.openxmlformats.org/officeDocument/2006/relationships/hyperlink" Target="https://saratov.d-mastera.ru/tseny-na-uslugi-santehnika/" TargetMode="External" Id="rId183"/><Relationship Type="http://schemas.openxmlformats.org/officeDocument/2006/relationships/hyperlink" Target="https://saratov.garantstroikompleks.ru/prajs-list" TargetMode="External" Id="rId184"/><Relationship Type="http://schemas.openxmlformats.org/officeDocument/2006/relationships/hyperlink" Target="https://www.avito.ru/saratov/predlozheniya_uslug?q=%D0%9F%D0%BE%D0%B4%D0%BA%D0%BB%D1%8E%D1%87%D0%B5%D0%BD%D0%B8%D0%B5%20%D0%B4%D1%83%D1%88%D0%B5%D0%B2%D0%BE%D0%B3%D0%BE%20%D1%81%D0%BC%D0%B5%D1%81%D0%B8%D1%82%D0%B5%D0%BB%D1%8F/%D1%81%D1%82%D0%BE%D0%B9%D0%BA%D0%B8%20%D0%A1%D0%B0%D1%80%D0%B0%D1%82%D0%BE%D0%B2" TargetMode="External" Id="rId185"/><Relationship Type="http://schemas.openxmlformats.org/officeDocument/2006/relationships/hyperlink" Target="https://saratov.korona-remont.ru/prices" TargetMode="External" Id="rId186"/><Relationship Type="http://schemas.openxmlformats.org/officeDocument/2006/relationships/hyperlink" Target="https://remo64.ru/price_san.php" TargetMode="External" Id="rId187"/><Relationship Type="http://schemas.openxmlformats.org/officeDocument/2006/relationships/hyperlink" Target="https://saratov.garantstroikompleks.ru/prajs-list" TargetMode="External" Id="rId188"/><Relationship Type="http://schemas.openxmlformats.org/officeDocument/2006/relationships/hyperlink" Target="https://www.avito.ru/saratov/predlozheniya_uslug?q=%D0%A3%D1%81%D1%82%D0%B0%D0%BD%D0%BE%D0%B2%D0%BA%D0%B0%20%D0%BF%D0%BE%D0%BB%D0%BE%D1%82%D0%B5%D0%BD%D1%86%D0%B5%D1%81%D1%83%D1%88%D0%B8%D1%82%D0%B5%D0%BB%D1%8F%20%D0%A1%D0%B0%D1%80%D0%B0%D1%82%D0%BE%D0%B2" TargetMode="External" Id="rId189"/><Relationship Type="http://schemas.openxmlformats.org/officeDocument/2006/relationships/hyperlink" Target="https://saratov.d-mastera.ru/tseny-na-uslugi-santehnika/" TargetMode="External" Id="rId190"/><Relationship Type="http://schemas.openxmlformats.org/officeDocument/2006/relationships/hyperlink" Target="https://saratov.365rem.ru/viewprice.asp?id=1144" TargetMode="External" Id="rId191"/><Relationship Type="http://schemas.openxmlformats.org/officeDocument/2006/relationships/hyperlink" Target="https://saratov.garantstroikompleks.ru/prajs-list" TargetMode="External" Id="rId192"/><Relationship Type="http://schemas.openxmlformats.org/officeDocument/2006/relationships/hyperlink" Target="https://www.avito.ru/saratov/predlozheniya_uslug?q=%D0%A3%D1%81%D1%82%D0%B0%D0%BD%D0%BE%D0%B2%D0%BA%D0%B0%20%D0%B3%D0%B8%D0%B3%D0%B8%D0%B5%D0%BD%D0%B8%D1%87%D0%B5%D1%81%D0%BA%D0%BE%D0%B3%D0%BE%20%D0%B4%D1%83%D1%88%D0%B0%20%D0%A1%D0%B0%D1%80%D0%B0%D1%82%D0%BE%D0%B2" TargetMode="External" Id="rId193"/><Relationship Type="http://schemas.openxmlformats.org/officeDocument/2006/relationships/hyperlink" Target="https://saratov.korona-remont.ru/prices" TargetMode="External" Id="rId194"/><Relationship Type="http://schemas.openxmlformats.org/officeDocument/2006/relationships/hyperlink" Target="https://profi.ru/geo-saratov/remont/ustanovka-dushevyh-peregorodok-iz-stekla/" TargetMode="External" Id="rId195"/><Relationship Type="http://schemas.openxmlformats.org/officeDocument/2006/relationships/hyperlink" Target="https://saratov.garantstroikompleks.ru/prajs-list" TargetMode="External" Id="rId196"/><Relationship Type="http://schemas.openxmlformats.org/officeDocument/2006/relationships/hyperlink" Target="https://www.avito.ru/saratov/predlozheniya_uslug?q=%D0%9C%D0%BE%D0%BD%D1%82%D0%B0%D0%B6%20%D0%BE%D0%B3%D1%80%D0%B0%D0%B6%D0%B4%D0%B5%D0%BD%D0%B8%D1%8F%20%D0%B4%D1%83%D1%88%D0%B5%D0%B2%D0%BE%D0%B9%20%D0%A1%D0%B0%D1%80%D0%B0%D1%82%D0%BE%D0%B2" TargetMode="External" Id="rId197"/><Relationship Type="http://schemas.openxmlformats.org/officeDocument/2006/relationships/hyperlink" Target="https://saratov.d-mastera.ru/tseny-na-elektromontazhnye-raboty/" TargetMode="External" Id="rId198"/><Relationship Type="http://schemas.openxmlformats.org/officeDocument/2006/relationships/hyperlink" Target="https://saratov.s5r.ru/ehlektromontazh" TargetMode="External" Id="rId199"/><Relationship Type="http://schemas.openxmlformats.org/officeDocument/2006/relationships/hyperlink" Target="https://saratov.garantstroikompleks.ru/prajs-list" TargetMode="External" Id="rId200"/><Relationship Type="http://schemas.openxmlformats.org/officeDocument/2006/relationships/hyperlink" Target="https://www.avito.ru/saratov/predlozheniya_uslug?q=%D0%9B%D1%8E%D0%BA%2C%20%D0%B2%D0%B5%D0%BD%D1%82%D0%B8%D0%BB%D1%8F%D1%82%D0%BE%D1%80%D1%8B%2C%20%D0%BC%D0%B5%D0%BB%D0%BA%D0%B8%D0%B5%20%D0%BF%D0%BE%D0%B4%D0%BA%D0%BB%D1%8E%D1%87%D0%B5%D0%BD%D0%B8%D1%8F%20%D0%A1%D0%B0%D1%80%D0%B0%D1%82%D0%BE%D0%B2" TargetMode="External" Id="rId201"/><Relationship Type="http://schemas.openxmlformats.org/officeDocument/2006/relationships/hyperlink" Target="https://saratov.korona-remont.ru/prices" TargetMode="External" Id="rId202"/><Relationship Type="http://schemas.openxmlformats.org/officeDocument/2006/relationships/hyperlink" Target="https://saratov.d-mastera.ru/tseny-na-elektromontazhnye-raboty/" TargetMode="External" Id="rId203"/><Relationship Type="http://schemas.openxmlformats.org/officeDocument/2006/relationships/hyperlink" Target="https://saratov.garantstroikompleks.ru/prajs-list" TargetMode="External" Id="rId204"/><Relationship Type="http://schemas.openxmlformats.org/officeDocument/2006/relationships/hyperlink" Target="https://www.avito.ru/saratov/predlozheniya_uslug?q=%D0%A3%D1%81%D1%82%D0%B0%D0%BD%D0%BE%D0%B2%D0%BA%D0%B0%20%D1%80%D0%BE%D0%B7%D0%B5%D1%82%D0%BE%D0%BA%20%D0%B8%20%D0%B2%D1%8B%D0%BA%D0%BB%D1%8E%D1%87%D0%B0%D1%82%D0%B5%D0%BB%D0%B5%D0%B9%20%D0%A1%D0%B0%D1%80%D0%B0%D1%82%D0%BE%D0%B2" TargetMode="External" Id="rId205"/><Relationship Type="http://schemas.openxmlformats.org/officeDocument/2006/relationships/hyperlink" Target="https://saratov.korona-remont.ru/prices" TargetMode="External" Id="rId206"/><Relationship Type="http://schemas.openxmlformats.org/officeDocument/2006/relationships/hyperlink" Target="https://saratov.d-mastera.ru/tseny-na-elektromontazhnye-raboty/" TargetMode="External" Id="rId207"/><Relationship Type="http://schemas.openxmlformats.org/officeDocument/2006/relationships/hyperlink" Target="https://saratov.garantstroikompleks.ru/prajs-list" TargetMode="External" Id="rId208"/><Relationship Type="http://schemas.openxmlformats.org/officeDocument/2006/relationships/hyperlink" Target="https://www.avito.ru/saratov/predlozheniya_uslug?q=%D0%A1%D0%B1%D0%BE%D1%80%D0%BA%D0%B0%20%D0%B8%20%D0%BF%D0%BE%D0%B4%D0%BA%D0%BB%D1%8E%D1%87%D0%B5%D0%BD%D0%B8%D0%B5%20%D1%89%D0%B8%D1%82%D0%B0%20%D0%A1%D0%B0%D1%80%D0%B0%D1%82%D0%BE%D0%B2" TargetMode="External" Id="rId209"/><Relationship Type="http://schemas.openxmlformats.org/officeDocument/2006/relationships/hyperlink" Target="https://saratov.d-mastera.ru/tseny-na-elektromontazhnye-raboty/" TargetMode="External" Id="rId210"/><Relationship Type="http://schemas.openxmlformats.org/officeDocument/2006/relationships/hyperlink" Target="https://saratov.dom-electric.ru/price" TargetMode="External" Id="rId211"/><Relationship Type="http://schemas.openxmlformats.org/officeDocument/2006/relationships/hyperlink" Target="https://saratov.garantstroikompleks.ru/prajs-list" TargetMode="External" Id="rId212"/><Relationship Type="http://schemas.openxmlformats.org/officeDocument/2006/relationships/hyperlink" Target="https://www.avito.ru/saratov/predlozheniya_uslug?q=%D0%9C%D0%BE%D0%BD%D1%82%D0%B0%D0%B6%20%D0%BB%D0%B8%D0%BD%D0%B8%D0%B8%20%D0%BD%D0%B0%20%D0%B2%D0%B0%D1%80%D0%BE%D1%87%D0%BD%D1%83%D1%8E%20%D0%BF%D0%B0%D0%BD%D0%B5%D0%BB%D1%8C%20%D0%A1%D0%B0%D1%80%D0%B0%D1%82%D0%BE%D0%B2" TargetMode="External" Id="rId213"/><Relationship Type="http://schemas.openxmlformats.org/officeDocument/2006/relationships/hyperlink" Target="https://saratov.d-mastera.ru/tseny-na-elektromontazhnye-raboty/" TargetMode="External" Id="rId214"/><Relationship Type="http://schemas.openxmlformats.org/officeDocument/2006/relationships/hyperlink" Target="https://saratov.dom-electric.ru/price" TargetMode="External" Id="rId215"/><Relationship Type="http://schemas.openxmlformats.org/officeDocument/2006/relationships/hyperlink" Target="https://saratov.s5r.ru/ehlektromontazh" TargetMode="External" Id="rId216"/><Relationship Type="http://schemas.openxmlformats.org/officeDocument/2006/relationships/hyperlink" Target="https://www.avito.ru/saratov/predlozheniya_uslug?q=%D0%9F%D1%80%D0%BE%D0%B7%D0%B2%D0%BE%D0%BD%D0%BA%D0%B0%2C%20%D0%BC%D0%B0%D1%80%D0%BA%D0%B8%D1%80%D0%BE%D0%B2%D0%BA%D0%B0%2C%20%D0%BF%D1%80%D0%BE%D0%B2%D0%B5%D1%80%D0%BA%D0%B0%20%D0%BB%D0%B8%D0%BD%D0%B8%D0%B9%20%D0%A1%D0%B0%D1%80%D0%B0%D1%82%D0%BE%D0%B2" TargetMode="External" Id="rId217"/><Relationship Type="http://schemas.openxmlformats.org/officeDocument/2006/relationships/hyperlink" Target="https://profi.ru/geo-saratov/remont/oboi/pokleika-oboev/price/" TargetMode="External" Id="rId218"/><Relationship Type="http://schemas.openxmlformats.org/officeDocument/2006/relationships/hyperlink" Target="https://saratov.proff-remont.ru/ceny/" TargetMode="External" Id="rId219"/><Relationship Type="http://schemas.openxmlformats.org/officeDocument/2006/relationships/hyperlink" Target="https://saratov.s5r.ru/poklejka-oboev" TargetMode="External" Id="rId220"/><Relationship Type="http://schemas.openxmlformats.org/officeDocument/2006/relationships/hyperlink" Target="https://www.avito.ru/saratov/predlozheniya_uslug?q=%D0%9F%D0%BE%D0%BA%D0%BB%D0%B5%D0%B9%D0%BA%D0%B0%20%D0%BE%D0%B1%D0%BE%D0%B5%D0%B2%20%D0%A1%D0%B0%D1%80%D0%B0%D1%82%D0%BE%D0%B2" TargetMode="External" Id="rId221"/><Relationship Type="http://schemas.openxmlformats.org/officeDocument/2006/relationships/hyperlink" Target="https://profi.ru/geo-saratov/remont/dekorativnaja_shtukaturka_v_zale/" TargetMode="External" Id="rId222"/><Relationship Type="http://schemas.openxmlformats.org/officeDocument/2006/relationships/hyperlink" Target="https://profi.ru/geo-saratov/remont/dekorativnaja_shtukaturka_v_zale/" TargetMode="External" Id="rId223"/><Relationship Type="http://schemas.openxmlformats.org/officeDocument/2006/relationships/hyperlink" Target="https://profi.ru/geo-saratov/remont/dekorativnaja_shtukaturka_v_zale/" TargetMode="External" Id="rId224"/><Relationship Type="http://schemas.openxmlformats.org/officeDocument/2006/relationships/hyperlink" Target="https://www.avito.ru/saratov/predlozheniya_uslug?q=%D0%90%D0%BA%D1%86%D0%B5%D0%BD%D1%82%D0%BD%D0%B0%D1%8F%20%D1%81%D1%82%D0%B5%D0%BD%D0%B0%20%D0%A1%D0%B0%D1%80%D0%B0%D1%82%D0%BE%D0%B2" TargetMode="External" Id="rId225"/><Relationship Type="http://schemas.openxmlformats.org/officeDocument/2006/relationships/hyperlink" Target="https://saratov.mastervdom.ru/uslugi-plotnika/ustanovka-razdvizhnyh-mezhkomnatnyh-dverej/" TargetMode="External" Id="rId226"/><Relationship Type="http://schemas.openxmlformats.org/officeDocument/2006/relationships/hyperlink" Target="https://profi.ru/geo-saratov/remont/dveri/ustanovka-mezhkomnatnyh-dverei/price/" TargetMode="External" Id="rId227"/><Relationship Type="http://schemas.openxmlformats.org/officeDocument/2006/relationships/hyperlink" Target="https://saratov.garantstroikompleks.ru/prajs-list" TargetMode="External" Id="rId228"/><Relationship Type="http://schemas.openxmlformats.org/officeDocument/2006/relationships/hyperlink" Target="https://www.avito.ru/saratov/predlozheniya_uslug?q=%D0%A3%D1%81%D1%82%D0%B0%D0%BD%D0%BE%D0%B2%D0%BA%D0%B0%20%D1%81%D1%82%D0%B0%D0%BD%D0%B4%D0%B0%D1%80%D1%82%D0%BD%D0%BE%D0%B9%20%D0%B4%D0%B2%D0%B5%D1%80%D0%B8%20%D0%A1%D0%B0%D1%80%D0%B0%D1%82%D0%BE%D0%B2" TargetMode="External" Id="rId229"/><Relationship Type="http://schemas.openxmlformats.org/officeDocument/2006/relationships/hyperlink" Target="https://saratov.mastervdom.ru/uslugi-plotnika/ustanovka-razdvizhnyh-mezhkomnatnyh-dverej/" TargetMode="External" Id="rId230"/><Relationship Type="http://schemas.openxmlformats.org/officeDocument/2006/relationships/hyperlink" Target="https://profi.ru/geo-saratov/remont/dveri/ustanovka-mezhkomnatnyh-dverei/price/" TargetMode="External" Id="rId231"/><Relationship Type="http://schemas.openxmlformats.org/officeDocument/2006/relationships/hyperlink" Target="https://profi.ru/geo-saratov/remont/dveri/ustanovka-mezhkomnatnyh-dverei/price/" TargetMode="External" Id="rId232"/><Relationship Type="http://schemas.openxmlformats.org/officeDocument/2006/relationships/hyperlink" Target="https://www.avito.ru/saratov/predlozheniya_uslug?q=%D0%A3%D1%81%D1%82%D0%B0%D0%BD%D0%BE%D0%B2%D0%BA%D0%B0%20%D1%88%D0%B8%D1%80%D0%BE%D0%BA%D0%BE%D0%B9/%D1%80%D0%B0%D0%B7%D0%B4%D0%B2%D0%B8%D0%B6%D0%BD%D0%BE%D0%B9%20%D0%B4%D0%B2%D0%B5%D1%80%D0%B8%20%D0%A1%D0%B0%D1%80%D0%B0%D1%82%D0%BE%D0%B2" TargetMode="External" Id="rId233"/><Relationship Type="http://schemas.openxmlformats.org/officeDocument/2006/relationships/hyperlink" Target="https://profi.ru/geo-saratov/domashnii_personal/uborka/uborka-posle-remonta/" TargetMode="External" Id="rId234"/><Relationship Type="http://schemas.openxmlformats.org/officeDocument/2006/relationships/hyperlink" Target="https://saratov.gor-master.ru/uborka-posle-remonta" TargetMode="External" Id="rId235"/><Relationship Type="http://schemas.openxmlformats.org/officeDocument/2006/relationships/hyperlink" Target="https://profi.ru/geo-saratov/domashnii_personal/uborka/uborka-posle-remonta/" TargetMode="External" Id="rId236"/><Relationship Type="http://schemas.openxmlformats.org/officeDocument/2006/relationships/hyperlink" Target="https://www.avito.ru/saratov/predlozheniya_uslug?q=%D0%A4%D0%B8%D0%BD%D0%B0%D0%BB%D1%8C%D0%BD%D0%B0%D1%8F%20%D1%83%D0%B1%D0%BE%D1%80%D0%BA%D0%B0%20%D0%A1%D0%B0%D1%80%D0%B0%D1%82%D0%BE%D0%B2" TargetMode="External" Id="rId237"/><Relationship Type="http://schemas.openxmlformats.org/officeDocument/2006/relationships/hyperlink" Target="https://saratov.100gryzchikov.ru/" TargetMode="External" Id="rId238"/><Relationship Type="http://schemas.openxmlformats.org/officeDocument/2006/relationships/hyperlink" Target="https://saratov.korona-remont.ru/prices" TargetMode="External" Id="rId239"/><Relationship Type="http://schemas.openxmlformats.org/officeDocument/2006/relationships/hyperlink" Target="https://saratov.garantstroikompleks.ru/prajs-list" TargetMode="External" Id="rId240"/><Relationship Type="http://schemas.openxmlformats.org/officeDocument/2006/relationships/hyperlink" Target="https://www.avito.ru/saratov/predlozheniya_uslug?q=%D0%94%D0%BE%D1%81%D1%82%D0%B0%D0%B2%D0%BA%D0%B0%2C%20%D0%BF%D0%BE%D0%B4%D1%8A%D1%91%D0%BC%2C%20%D0%B2%D1%8B%D0%BD%D0%BE%D1%81%20%D0%BC%D1%83%D1%81%D0%BE%D1%80%D0%B0%20%D0%A1%D0%B0%D1%80%D0%B0%D1%82%D0%BE%D0%B2" TargetMode="External" Id="rId241"/><Relationship Type="http://schemas.openxmlformats.org/officeDocument/2006/relationships/hyperlink" Target="https://hoff.ru/catalog/kuhnya/kuhonnye_garnitury/gotovie_reshenia/modulnie/amika_seri_kamen_trufel/amika_2_41kh1_51_m_seryy_kamen_tryufel_korichnevyy_modulnyy_kukhonnyy_garnitur_id4420656/" TargetMode="External" Id="rId242"/><Relationship Type="http://schemas.openxmlformats.org/officeDocument/2006/relationships/hyperlink" Target="https://hoff.ru/catalog/kuhnya/kuhonnye_garnitury/planiruemie/?sort=price_asc" TargetMode="External" Id="rId243"/><Relationship Type="http://schemas.openxmlformats.org/officeDocument/2006/relationships/hyperlink" Target="https://www.marya.ru/price/" TargetMode="External" Id="rId244"/><Relationship Type="http://schemas.openxmlformats.org/officeDocument/2006/relationships/hyperlink" Target="https://www.avito.ru/saratov?q=%D0%9A%D1%83%D1%85%D0%BE%D0%BD%D0%BD%D1%8B%D0%B9%20%D0%B3%D0%B0%D1%80%D0%BD%D0%B8%D1%82%D1%83%D1%80" TargetMode="External" Id="rId245"/><Relationship Type="http://schemas.openxmlformats.org/officeDocument/2006/relationships/hyperlink" Target="https://lemanapro.ru/product/stoleshnica-marengo-300x38x60-sm-ldsp-cvet-belyy-82113217/" TargetMode="External" Id="rId246"/><Relationship Type="http://schemas.openxmlformats.org/officeDocument/2006/relationships/hyperlink" Target="https://lemanapro.ru/product/stoleshnica-delinia-seriya-samdal-300x38x60-sm-dbsp-dsp-cvet-korichnevyy-85682905/" TargetMode="External" Id="rId247"/><Relationship Type="http://schemas.openxmlformats.org/officeDocument/2006/relationships/hyperlink" Target="https://www.stonestone.ru/stoleshnitsy-iz-iskusstvennogo-kamnya/iz-kvarcza/" TargetMode="External" Id="rId248"/><Relationship Type="http://schemas.openxmlformats.org/officeDocument/2006/relationships/hyperlink" Target="https://www.avito.ru/saratov?q=%D0%A1%D1%82%D0%BE%D0%BB%D0%B5%D1%88%D0%BD%D0%B8%D1%86%D0%B0" TargetMode="External" Id="rId249"/><Relationship Type="http://schemas.openxmlformats.org/officeDocument/2006/relationships/hyperlink" Target="https://saratov.lemanapro.ru/catalogue/stenovye-paneli-dlya-kuhni/" TargetMode="External" Id="rId250"/><Relationship Type="http://schemas.openxmlformats.org/officeDocument/2006/relationships/hyperlink" Target="https://www.bestceramic.ru/catalog/plitka/kabanchik-10x20" TargetMode="External" Id="rId251"/><Relationship Type="http://schemas.openxmlformats.org/officeDocument/2006/relationships/hyperlink" Target="https://steklotrade.com/kuxonnyj-fartuk-iz-stekla.html" TargetMode="External" Id="rId252"/><Relationship Type="http://schemas.openxmlformats.org/officeDocument/2006/relationships/hyperlink" Target="https://www.avito.ru/saratov?q=%D0%A4%D0%B0%D1%80%D1%82%D1%83%D0%BA" TargetMode="External" Id="rId253"/><Relationship Type="http://schemas.openxmlformats.org/officeDocument/2006/relationships/hyperlink" Target="https://www.sima-land.ru/3890637/moyka-kuhonnaya-vladiks-nakladnaya-bez-sifona-60-50-cm-levaya-nerzhaveyuschaya-stal-0-4-mm/" TargetMode="External" Id="rId254"/><Relationship Type="http://schemas.openxmlformats.org/officeDocument/2006/relationships/hyperlink" Target="https://saratov.lemanapro.ru/catalogue/kuhonnye-moyki/granitnye/" TargetMode="External" Id="rId255"/><Relationship Type="http://schemas.openxmlformats.org/officeDocument/2006/relationships/hyperlink" Target="https://blanco-rus.ru/products/moyka-blanco-zia-45s-526013" TargetMode="External" Id="rId256"/><Relationship Type="http://schemas.openxmlformats.org/officeDocument/2006/relationships/hyperlink" Target="https://www.avito.ru/saratov?q=%D0%9C%D0%BE%D0%B9%D0%BA%D0%B0%20%2B%20%D1%81%D0%BC%D0%B5%D1%81%D0%B8%D1%82%D0%B5%D0%BB%D1%8C" TargetMode="External" Id="rId257"/><Relationship Type="http://schemas.openxmlformats.org/officeDocument/2006/relationships/hyperlink" Target="https://www.weissgauff.ru/catalog_69/indukcionnye_varochnye_paneli.html?page=all" TargetMode="External" Id="rId258"/><Relationship Type="http://schemas.openxmlformats.org/officeDocument/2006/relationships/hyperlink" Target="https://www.citilink.ru/product/indukcionnaya-varochnaya-panel-bosch-serie-4-pue611bb5e-nezavisimaya-c-1854352/" TargetMode="External" Id="rId259"/><Relationship Type="http://schemas.openxmlformats.org/officeDocument/2006/relationships/hyperlink" Target="https://www.hausdorf.ru/catalog/varochnye-paneli/bosch/induktsionnaya-varochnaya-panel-bosch-pxe651fc1e.html" TargetMode="External" Id="rId260"/><Relationship Type="http://schemas.openxmlformats.org/officeDocument/2006/relationships/hyperlink" Target="https://www.avito.ru/saratov?q=%D0%92%D0%B0%D1%80%D0%BE%D1%87%D0%BD%D0%B0%D1%8F%20%D0%BF%D0%B0%D0%BD%D0%B5%D0%BB%D1%8C%20%D1%8D%D0%BB%D0%B5%D0%BA%D1%82%D1%80%D0%B8%D1%87%D0%B5%D1%81%D0%BA%D0%B0%D1%8F" TargetMode="External" Id="rId261"/><Relationship Type="http://schemas.openxmlformats.org/officeDocument/2006/relationships/hyperlink" Target="https://hansa.ru/product/duhovoy-shkaf-hansa-boei68401" TargetMode="External" Id="rId262"/><Relationship Type="http://schemas.openxmlformats.org/officeDocument/2006/relationships/hyperlink" Target="https://www.hausdorf.ru/catalog/dukhovye-shkafy/bosch/dukhovoy-shkaf-bosch-hbf534es0q.html" TargetMode="External" Id="rId263"/><Relationship Type="http://schemas.openxmlformats.org/officeDocument/2006/relationships/hyperlink" Target="https://www.hausdorf.ru/catalog/dukhovye-shkafy/miele/dukhovoy-shkaf-miele-h-2860-b-grgr.html" TargetMode="External" Id="rId264"/><Relationship Type="http://schemas.openxmlformats.org/officeDocument/2006/relationships/hyperlink" Target="https://www.avito.ru/saratov?q=%D0%94%D1%83%D1%85%D0%BE%D0%B2%D0%BE%D0%B9%20%D1%88%D0%BA%D0%B0%D1%84" TargetMode="External" Id="rId265"/><Relationship Type="http://schemas.openxmlformats.org/officeDocument/2006/relationships/hyperlink" Target="https://krona.ru/catalog/hood/builtin/kamilla_600_e2m_white/" TargetMode="External" Id="rId266"/><Relationship Type="http://schemas.openxmlformats.org/officeDocument/2006/relationships/hyperlink" Target="https://www.hausdorf.ru/catalog/vytyazhki/bosch/vytyazhka-bosch-dfm064w54.html" TargetMode="External" Id="rId267"/><Relationship Type="http://schemas.openxmlformats.org/officeDocument/2006/relationships/hyperlink" Target="https://tehnopole.ru/vytyazhka-miele-da2558/" TargetMode="External" Id="rId268"/><Relationship Type="http://schemas.openxmlformats.org/officeDocument/2006/relationships/hyperlink" Target="https://www.avito.ru/saratov?q=%D0%92%D1%8B%D1%82%D1%8F%D0%B6%D0%BA%D0%B0" TargetMode="External" Id="rId269"/><Relationship Type="http://schemas.openxmlformats.org/officeDocument/2006/relationships/hyperlink" Target="https://indesit-store.ru/catalog/krupnaya-bytovaya-tekhnika/kholodilniki-i-morozilniki/kholodilniki/indesit_its_4180_w/" TargetMode="External" Id="rId270"/><Relationship Type="http://schemas.openxmlformats.org/officeDocument/2006/relationships/hyperlink" Target="https://www.eldorado.ru/cat/detail/kholodilnik-haier-cef537awg/" TargetMode="External" Id="rId271"/><Relationship Type="http://schemas.openxmlformats.org/officeDocument/2006/relationships/hyperlink" Target="https://l-rus.ru/liebherr/holodilniki/dvukhkamernye-kholodilniki-s-morozilnikom/kholodilnik-liebherr-cnsfd-5723.html" TargetMode="External" Id="rId272"/><Relationship Type="http://schemas.openxmlformats.org/officeDocument/2006/relationships/hyperlink" Target="https://www.avito.ru/saratov?q=%D0%A5%D0%BE%D0%BB%D0%BE%D0%B4%D0%B8%D0%BB%D1%8C%D0%BD%D0%B8%D0%BA" TargetMode="External" Id="rId273"/><Relationship Type="http://schemas.openxmlformats.org/officeDocument/2006/relationships/hyperlink" Target="https://price.ru/posudomoechnye-mashiny/weissgauff-bdw-4004/" TargetMode="External" Id="rId274"/><Relationship Type="http://schemas.openxmlformats.org/officeDocument/2006/relationships/hyperlink" Target="https://bs-rus.ru/bosch/posudomoechnye-mashiny/posudomoechnaya-mashina-bosch-smv25ax02r.html" TargetMode="External" Id="rId275"/><Relationship Type="http://schemas.openxmlformats.org/officeDocument/2006/relationships/hyperlink" Target="https://www.hausdorf.ru/catalog/posudomoechnye-mashiny/miele/posudomoechnaya-mashina-miele-g-5000-sci.html" TargetMode="External" Id="rId276"/><Relationship Type="http://schemas.openxmlformats.org/officeDocument/2006/relationships/hyperlink" Target="https://www.avito.ru/saratov?q=%D0%9F%D0%BE%D1%81%D1%83%D0%B4%D0%BE%D0%BC%D0%BE%D0%B5%D1%87%D0%BD%D0%B0%D1%8F%20%D0%BC%D0%B0%D1%88%D0%B8%D0%BD%D0%B0" TargetMode="External" Id="rId277"/><Relationship Type="http://schemas.openxmlformats.org/officeDocument/2006/relationships/hyperlink" Target="https://galaxystore.ru/product/MS23K3513AK-BW/" TargetMode="External" Id="rId278"/><Relationship Type="http://schemas.openxmlformats.org/officeDocument/2006/relationships/hyperlink" Target="https://www.weissgauff.ru/goods_165870/vstraivaemaya_mikrovolnovaya_pech_bez_povorotnogo_stola_weissgauff_hmt252.html" TargetMode="External" Id="rId279"/><Relationship Type="http://schemas.openxmlformats.org/officeDocument/2006/relationships/hyperlink" Target="https://bosch-centre.ru/bosch/mikrovolnovye-pechi/vstraivaemaya-mikrovolnovaya-pech-bosch-bfl523ms0.html" TargetMode="External" Id="rId280"/><Relationship Type="http://schemas.openxmlformats.org/officeDocument/2006/relationships/hyperlink" Target="https://www.avito.ru/saratov?q=%D0%9C%D0%B8%D0%BA%D1%80%D0%BE%D0%B2%D0%BE%D0%BB%D0%BD%D0%BE%D0%B2%D0%BA%D0%B0" TargetMode="External" Id="rId281"/><Relationship Type="http://schemas.openxmlformats.org/officeDocument/2006/relationships/hyperlink" Target="https://hoff.ru/catalog/kuhnya/obedennye_gruppy/" TargetMode="External" Id="rId282"/><Relationship Type="http://schemas.openxmlformats.org/officeDocument/2006/relationships/hyperlink" Target="https://hoff.ru/catalog/kuhnya/obedennye_gruppy/kuhonnye_stoly/?tsvet=dub" TargetMode="External" Id="rId283"/><Relationship Type="http://schemas.openxmlformats.org/officeDocument/2006/relationships/hyperlink" Target="https://vladivostok.inmyroom.ru/products/mebel/stoly/obedennye-stoly/mat-massiv/vda-dub" TargetMode="External" Id="rId284"/><Relationship Type="http://schemas.openxmlformats.org/officeDocument/2006/relationships/hyperlink" Target="https://www.avito.ru/saratov?q=%D0%9E%D0%B1%D0%B5%D0%B4%D0%B5%D0%BD%D0%BD%D1%8B%D0%B9%20%D1%81%D1%82%D0%BE%D0%BB%20%2B%20%D1%81%D1%82%D1%83%D0%BB%D1%8C%D1%8F" TargetMode="External" Id="rId285"/><Relationship Type="http://schemas.openxmlformats.org/officeDocument/2006/relationships/hyperlink" Target="https://market.yandex.ru/category/nabory-kastryul-hoff" TargetMode="External" Id="rId286"/><Relationship Type="http://schemas.openxmlformats.org/officeDocument/2006/relationships/hyperlink" Target="https://hoff.ru/catalog/tovary_dlya_doma/posuda/prigotovlenie_pischi/nabory_posudy/" TargetMode="External" Id="rId287"/><Relationship Type="http://schemas.openxmlformats.org/officeDocument/2006/relationships/hyperlink" Target="https://www.ozon.ru/category/nabor-kastryul-hoff/" TargetMode="External" Id="rId288"/><Relationship Type="http://schemas.openxmlformats.org/officeDocument/2006/relationships/hyperlink" Target="https://www.avito.ru/saratov?q=%D0%9F%D0%BE%D1%81%D1%83%D0%B4%D0%B0%2C%20%D0%BA%D1%83%D1%85%D0%BE%D0%BD%D0%BD%D0%B0%D1%8F%20%D1%83%D1%82%D0%B2%D0%B0%D1%80%D1%8C%2C%20%D1%82%D0%B5%D0%BA%D1%81%D1%82%D0%B8%D0%BB%D1%8C" TargetMode="External" Id="rId289"/><Relationship Type="http://schemas.openxmlformats.org/officeDocument/2006/relationships/hyperlink" Target="https://hoff.ru/catalog/spalnya/krovati/krovati_bez_podemnogo_mehanizma/krovat_moris_id10653557/?articul=80677628" TargetMode="External" Id="rId290"/><Relationship Type="http://schemas.openxmlformats.org/officeDocument/2006/relationships/hyperlink" Target="https://www.askona.ru/krovati/160x200/" TargetMode="External" Id="rId291"/><Relationship Type="http://schemas.openxmlformats.org/officeDocument/2006/relationships/hyperlink" Target="https://www.askona.ru/krovati/160x200/" TargetMode="External" Id="rId292"/><Relationship Type="http://schemas.openxmlformats.org/officeDocument/2006/relationships/hyperlink" Target="https://www.avito.ru/saratov?q=%D0%9A%D1%80%D0%BE%D0%B2%D0%B0%D1%82%D1%8C%20160%C3%97200%20%D1%81%20%D0%BE%D1%81%D0%BD%D0%BE%D0%B2%D0%B0%D0%BD%D0%B8%D0%B5%D0%BC" TargetMode="External" Id="rId293"/><Relationship Type="http://schemas.openxmlformats.org/officeDocument/2006/relationships/hyperlink" Target="https://www.askona.ru/matrasy/nezavisimyi-blok/160x200/" TargetMode="External" Id="rId294"/><Relationship Type="http://schemas.openxmlformats.org/officeDocument/2006/relationships/hyperlink" Target="https://www.askona.ru/matrasy/nezavisimyi-blok/160x200/" TargetMode="External" Id="rId295"/><Relationship Type="http://schemas.openxmlformats.org/officeDocument/2006/relationships/hyperlink" Target="https://www.askona.ru/matrasy/nezavisimyi-blok/160x200/" TargetMode="External" Id="rId296"/><Relationship Type="http://schemas.openxmlformats.org/officeDocument/2006/relationships/hyperlink" Target="https://www.avito.ru/saratov?q=%D0%9C%D0%B0%D1%82%D1%80%D0%B0%D1%81%20160%C3%97200" TargetMode="External" Id="rId297"/><Relationship Type="http://schemas.openxmlformats.org/officeDocument/2006/relationships/hyperlink" Target="https://hoff.ru/catalog/spalnya/shkafy_dlya_spalni/shkafy_raspashnye/shkaf_raspashnoy_viva_id10351125/?articul=80639084" TargetMode="External" Id="rId298"/><Relationship Type="http://schemas.openxmlformats.org/officeDocument/2006/relationships/hyperlink" Target="https://hoff.ru/catalog/spalnya/shkafy_dlya_spalni/shkafy_kupe/shkaf_kupe_home_id9820355/?articul=80607195" TargetMode="External" Id="rId299"/><Relationship Type="http://schemas.openxmlformats.org/officeDocument/2006/relationships/hyperlink" Target="https://saratov.shkafy-moskva.ru/tcat/p-obraznye-shkafy/" TargetMode="External" Id="rId300"/><Relationship Type="http://schemas.openxmlformats.org/officeDocument/2006/relationships/hyperlink" Target="https://www.avito.ru/saratov?q=%D0%A8%D0%BA%D0%B0%D1%84%20%D0%B4%D0%BB%D1%8F%20%D0%BE%D0%B4%D0%B5%D0%B6%D0%B4%D1%8B" TargetMode="External" Id="rId301"/><Relationship Type="http://schemas.openxmlformats.org/officeDocument/2006/relationships/hyperlink" Target="https://hoff.ru/catalog/spalnya/tumby_i_komody/tumby/tumba_prikrovatnaya_blanka_id1654372/?articul=80294328" TargetMode="External" Id="rId302"/><Relationship Type="http://schemas.openxmlformats.org/officeDocument/2006/relationships/hyperlink" Target="https://hoff.ru/catalog/spalnya/tumby_i_komody/tumby/tumba_prikrovatnaya_khilton_id8615703/?articul=80527840" TargetMode="External" Id="rId303"/><Relationship Type="http://schemas.openxmlformats.org/officeDocument/2006/relationships/hyperlink" Target="https://loft-concept.ru/catalog/product/tumba-prikrovatnaya-s-vydvizhnym-yashchikom-iz-massiva-duba-type-oak/" TargetMode="External" Id="rId304"/><Relationship Type="http://schemas.openxmlformats.org/officeDocument/2006/relationships/hyperlink" Target="https://www.avito.ru/saratov?q=%D0%9F%D1%80%D0%B8%D0%BA%D1%80%D0%BE%D0%B2%D0%B0%D1%82%D0%BD%D1%8B%D0%B5%20%D1%82%D1%83%D0%BC%D0%B1%D1%8B" TargetMode="External" Id="rId305"/><Relationship Type="http://schemas.openxmlformats.org/officeDocument/2006/relationships/hyperlink" Target="https://hoff.ru/catalog/promo/komody/" TargetMode="External" Id="rId306"/><Relationship Type="http://schemas.openxmlformats.org/officeDocument/2006/relationships/hyperlink" Target="https://hoff.ru/catalog/promo/komody/" TargetMode="External" Id="rId307"/><Relationship Type="http://schemas.openxmlformats.org/officeDocument/2006/relationships/hyperlink" Target="https://hoff.ru/catalog/promo/komody/" TargetMode="External" Id="rId308"/><Relationship Type="http://schemas.openxmlformats.org/officeDocument/2006/relationships/hyperlink" Target="https://www.avito.ru/saratov?q=%D0%9A%D0%BE%D0%BC%D0%BE%D0%B4" TargetMode="External" Id="rId309"/><Relationship Type="http://schemas.openxmlformats.org/officeDocument/2006/relationships/hyperlink" Target="https://lemanapro.ru/catalogue/potolochnye-karnizy/trehryadnye/" TargetMode="External" Id="rId310"/><Relationship Type="http://schemas.openxmlformats.org/officeDocument/2006/relationships/hyperlink" Target="https://saratov.shtorystore.ru/shtory/na_zakaz/" TargetMode="External" Id="rId311"/><Relationship Type="http://schemas.openxmlformats.org/officeDocument/2006/relationships/hyperlink" Target="https://spacy.ru/shtory-v-spalnyu" TargetMode="External" Id="rId312"/><Relationship Type="http://schemas.openxmlformats.org/officeDocument/2006/relationships/hyperlink" Target="https://www.avito.ru/saratov?q=%D0%A8%D1%82%D0%BE%D1%80%D1%8B%20%2B%20%D0%BA%D0%B0%D1%80%D0%BD%D0%B8%D0%B7" TargetMode="External" Id="rId313"/><Relationship Type="http://schemas.openxmlformats.org/officeDocument/2006/relationships/hyperlink" Target="https://www.askona.ru/tekstil/postelnoe-beljo/tip_evro/" TargetMode="External" Id="rId314"/><Relationship Type="http://schemas.openxmlformats.org/officeDocument/2006/relationships/hyperlink" Target="https://www.askona.ru/tekstil/postelnoe-beljo/tip_evro/" TargetMode="External" Id="rId315"/><Relationship Type="http://schemas.openxmlformats.org/officeDocument/2006/relationships/hyperlink" Target="https://www.askona.ru/tekstil/postelnoe-beljo/tip_evro/" TargetMode="External" Id="rId316"/><Relationship Type="http://schemas.openxmlformats.org/officeDocument/2006/relationships/hyperlink" Target="https://www.avito.ru/saratov?q=%D0%9F%D0%BE%D1%81%D1%82%D0%B5%D0%BB%D1%8C%D0%BD%D0%BE%D0%B5%2C%20%D0%BF%D0%BE%D0%B4%D1%83%D1%88%D0%BA%D0%B8%2C%20%D0%BE%D0%B4%D0%B5%D1%8F%D0%BB%D0%BE" TargetMode="External" Id="rId317"/><Relationship Type="http://schemas.openxmlformats.org/officeDocument/2006/relationships/hyperlink" Target="https://hoff.ru/catalog/tovary_dlya_doma/osveschenie/nastolnye_lampy/" TargetMode="External" Id="rId318"/><Relationship Type="http://schemas.openxmlformats.org/officeDocument/2006/relationships/hyperlink" Target="https://hoff.ru/catalog/tovary_dlya_doma/osveschenie/bra/bra_orecchini_id10377205/?articul=80638441" TargetMode="External" Id="rId319"/><Relationship Type="http://schemas.openxmlformats.org/officeDocument/2006/relationships/hyperlink" Target="https://hoff.ru/catalog/tovary_dlya_doma/osveschenie/bra/bra_teramo_id10377253/?articul=80638452" TargetMode="External" Id="rId320"/><Relationship Type="http://schemas.openxmlformats.org/officeDocument/2006/relationships/hyperlink" Target="https://www.avito.ru/saratov?q=%D0%91%D1%80%D0%B0%20/%20%D0%BD%D0%B0%D1%81%D1%82%D0%BE%D0%BB%D1%8C%D0%BD%D1%8B%D0%B5%20%D1%81%D0%B2%D0%B5%D1%82%D0%B8%D0%BB%D1%8C%D0%BD%D0%B8%D0%BA%D0%B8" TargetMode="External" Id="rId321"/><Relationship Type="http://schemas.openxmlformats.org/officeDocument/2006/relationships/hyperlink" Target="https://www.orbita-mebel.ru/catalog/detskaya-krovat-virastaika/" TargetMode="External" Id="rId322"/><Relationship Type="http://schemas.openxmlformats.org/officeDocument/2006/relationships/hyperlink" Target="https://www.askona.ru/detskie/krovati/" TargetMode="External" Id="rId323"/><Relationship Type="http://schemas.openxmlformats.org/officeDocument/2006/relationships/hyperlink" Target="https://www.ozon.ru/category/krovati-razdvizhnye/" TargetMode="External" Id="rId324"/><Relationship Type="http://schemas.openxmlformats.org/officeDocument/2006/relationships/hyperlink" Target="https://www.avito.ru/saratov?q=%D0%9A%D1%80%D0%BE%D0%B2%D0%B0%D1%82%D1%8C%20%D1%80%D0%B0%D0%B7%D0%B4%D0%B2%D0%B8%D0%B6%D0%BD%D0%B0%D1%8F%2080%C3%97130%E2%86%92190" TargetMode="External" Id="rId325"/><Relationship Type="http://schemas.openxmlformats.org/officeDocument/2006/relationships/hyperlink" Target="https://www.orbita-mebel.ru/catalog/detskaya-krovat-virastaika/" TargetMode="External" Id="rId326"/><Relationship Type="http://schemas.openxmlformats.org/officeDocument/2006/relationships/hyperlink" Target="https://www.askona.ru/matrasy/80x190/" TargetMode="External" Id="rId327"/><Relationship Type="http://schemas.openxmlformats.org/officeDocument/2006/relationships/hyperlink" Target="https://www.askona.ru/matrasy/80x190/" TargetMode="External" Id="rId328"/><Relationship Type="http://schemas.openxmlformats.org/officeDocument/2006/relationships/hyperlink" Target="https://www.avito.ru/saratov?q=%D0%9C%D0%B0%D1%82%D1%80%D0%B0%D1%81%20%D0%B4%D0%BB%D1%8F%20%D1%80%D0%B0%D0%B7%D0%B4%D0%B2%D0%B8%D0%B6%D0%BD%D0%BE%D0%B9%20%D0%BA%D1%80%D0%BE%D0%B2%D0%B0%D1%82%D0%B8" TargetMode="External" Id="rId329"/><Relationship Type="http://schemas.openxmlformats.org/officeDocument/2006/relationships/hyperlink" Target="https://hoff.ru/catalog/ofis/mebel_dlya_ofisa/pismennye-stoly/komputernye-stoly/pismennyy_stol_oregon_id6416083/?articul=80354122" TargetMode="External" Id="rId330"/><Relationship Type="http://schemas.openxmlformats.org/officeDocument/2006/relationships/hyperlink" Target="https://www.i-sit.ru/rifforma/" TargetMode="External" Id="rId331"/><Relationship Type="http://schemas.openxmlformats.org/officeDocument/2006/relationships/hyperlink" Target="https://www.i-sit.ru/rifforma/" TargetMode="External" Id="rId332"/><Relationship Type="http://schemas.openxmlformats.org/officeDocument/2006/relationships/hyperlink" Target="https://www.avito.ru/saratov?q=%D0%9F%D0%B8%D1%81%D1%8C%D0%BC%D0%B5%D0%BD%D0%BD%D1%8B%D0%B9%20%D1%81%D1%82%D0%BE%D0%BB%20%2B%20%D1%81%D1%82%D1%83%D0%BB" TargetMode="External" Id="rId333"/><Relationship Type="http://schemas.openxmlformats.org/officeDocument/2006/relationships/hyperlink" Target="https://hoff.ru/catalog/spalnya/shkafy_dlya_spalni/shkafy_raspashnye/shkaf_raspashnoy_viva_id10351125/?articul=80639084" TargetMode="External" Id="rId334"/><Relationship Type="http://schemas.openxmlformats.org/officeDocument/2006/relationships/hyperlink" Target="https://hoff.ru/catalog/spalnya/shkafy_dlya_spalni/shkafy_raspashnye/shkaf_valeri_id9211197/?articul=80562625" TargetMode="External" Id="rId335"/><Relationship Type="http://schemas.openxmlformats.org/officeDocument/2006/relationships/hyperlink" Target="https://saratov.shkafy-moskva.ru/tcat/p-obraznye-shkafy/" TargetMode="External" Id="rId336"/><Relationship Type="http://schemas.openxmlformats.org/officeDocument/2006/relationships/hyperlink" Target="https://www.avito.ru/saratov?q=%D0%A8%D0%BA%D0%B0%D1%84" TargetMode="External" Id="rId337"/><Relationship Type="http://schemas.openxmlformats.org/officeDocument/2006/relationships/hyperlink" Target="https://hoff.ru/catalog/gostinaya/mebel_dlya_gostinykh/stellazhy/stellazh_sokho_id8104569/?articul=80446095" TargetMode="External" Id="rId338"/><Relationship Type="http://schemas.openxmlformats.org/officeDocument/2006/relationships/hyperlink" Target="https://hoff.ru/catalog/gostinaya/mebel_dlya_gostinykh/stellazhy/stellazh_st_id7581553/?articul=80397921" TargetMode="External" Id="rId339"/><Relationship Type="http://schemas.openxmlformats.org/officeDocument/2006/relationships/hyperlink" Target="https://hoff.ru/catalog/gostinaya/mebel_dlya_gostinykh/stellazhy/stellazh_cubic_id9134797/?articul=80557198" TargetMode="External" Id="rId340"/><Relationship Type="http://schemas.openxmlformats.org/officeDocument/2006/relationships/hyperlink" Target="https://www.avito.ru/saratov?q=%D0%A1%D1%82%D0%B5%D0%BB%D0%BB%D0%B0%D0%B6%20/%20%D0%BF%D0%BE%D0%BB%D0%BA%D0%B8" TargetMode="External" Id="rId341"/><Relationship Type="http://schemas.openxmlformats.org/officeDocument/2006/relationships/hyperlink" Target="https://lemanapro.ru/catalogue/potolochnye-karnizy/trehryadnye/" TargetMode="External" Id="rId342"/><Relationship Type="http://schemas.openxmlformats.org/officeDocument/2006/relationships/hyperlink" Target="https://saratov.shtorystore.ru/shtory/na_zakaz/" TargetMode="External" Id="rId343"/><Relationship Type="http://schemas.openxmlformats.org/officeDocument/2006/relationships/hyperlink" Target="https://spacy.ru/shtory-v-spalnyu" TargetMode="External" Id="rId344"/><Relationship Type="http://schemas.openxmlformats.org/officeDocument/2006/relationships/hyperlink" Target="https://www.avito.ru/saratov?q=%D0%A8%D1%82%D0%BE%D1%80%D1%8B%20%2B%20%D0%BA%D0%B0%D1%80%D0%BD%D0%B8%D0%B7" TargetMode="External" Id="rId345"/><Relationship Type="http://schemas.openxmlformats.org/officeDocument/2006/relationships/hyperlink" Target="https://hoff.ru/catalog/tovary_dlya_doma/kovry/sovremennye_kovry/kovyer_julia_id10484811/?articul=80644879" TargetMode="External" Id="rId346"/><Relationship Type="http://schemas.openxmlformats.org/officeDocument/2006/relationships/hyperlink" Target="https://hoff.ru/catalog/tovary_dlya_doma/kovry/sovremennye_kovry/kovyer_creative_id10067713/?articul=80619884" TargetMode="External" Id="rId347"/><Relationship Type="http://schemas.openxmlformats.org/officeDocument/2006/relationships/hyperlink" Target="https://www.inmyroom.ru/products/tekstil/kovry/m-sherst" TargetMode="External" Id="rId348"/><Relationship Type="http://schemas.openxmlformats.org/officeDocument/2006/relationships/hyperlink" Target="https://www.avito.ru/saratov?q=%D0%9A%D0%BE%D0%B2%D1%91%D1%80" TargetMode="External" Id="rId349"/><Relationship Type="http://schemas.openxmlformats.org/officeDocument/2006/relationships/hyperlink" Target="https://www.askona.ru/tekstil/postelnoe-beljo/" TargetMode="External" Id="rId350"/><Relationship Type="http://schemas.openxmlformats.org/officeDocument/2006/relationships/hyperlink" Target="https://www.askona.ru/tekstil/postelnoe-beljo/" TargetMode="External" Id="rId351"/><Relationship Type="http://schemas.openxmlformats.org/officeDocument/2006/relationships/hyperlink" Target="https://www.askona.ru/tekstil/postelnoe-beljo/" TargetMode="External" Id="rId352"/><Relationship Type="http://schemas.openxmlformats.org/officeDocument/2006/relationships/hyperlink" Target="https://www.avito.ru/saratov?q=%D0%A2%D0%B5%D0%BA%D1%81%D1%82%D0%B8%D0%BB%D1%8C" TargetMode="External" Id="rId353"/><Relationship Type="http://schemas.openxmlformats.org/officeDocument/2006/relationships/hyperlink" Target="https://hoff.ru/catalog/tovary_dlya_doma/osveschenie/detskie_svetilniki/nochniki/" TargetMode="External" Id="rId354"/><Relationship Type="http://schemas.openxmlformats.org/officeDocument/2006/relationships/hyperlink" Target="https://hoff.ru/catalog/tovary_dlya_doma/osveschenie/detskie_svetilniki/nastolnye_lampy/" TargetMode="External" Id="rId355"/><Relationship Type="http://schemas.openxmlformats.org/officeDocument/2006/relationships/hyperlink" Target="https://lemanapro.ru/catalogue/nastolnye-lampy/prikrovatnye/" TargetMode="External" Id="rId356"/><Relationship Type="http://schemas.openxmlformats.org/officeDocument/2006/relationships/hyperlink" Target="https://www.avito.ru/saratov?q=%D0%9E%D1%81%D0%B2%D0%B5%D1%89%D0%B5%D0%BD%D0%B8%D0%B5" TargetMode="External" Id="rId357"/><Relationship Type="http://schemas.openxmlformats.org/officeDocument/2006/relationships/hyperlink" Target="https://mnogomebeli.com/divany/preston/preston-monolit/" TargetMode="External" Id="rId358"/><Relationship Type="http://schemas.openxmlformats.org/officeDocument/2006/relationships/hyperlink" Target="https://mnogomebeli.com/divany/uglovye-divany/uglovoy-divan-boss-xl-alkantara/" TargetMode="External" Id="rId359"/><Relationship Type="http://schemas.openxmlformats.org/officeDocument/2006/relationships/hyperlink" Target="https://mnogomebeli.com/divany/divan-richmond/modulnyy-divan-richmond-modool-max-velyur-royal/" TargetMode="External" Id="rId360"/><Relationship Type="http://schemas.openxmlformats.org/officeDocument/2006/relationships/hyperlink" Target="https://www.avito.ru/saratov?q=%D0%94%D0%B8%D0%B2%D0%B0%D0%BD" TargetMode="External" Id="rId361"/><Relationship Type="http://schemas.openxmlformats.org/officeDocument/2006/relationships/hyperlink" Target="https://www.citilink.ru/product/televizor-led-xiaomi-43-tv-a-43-2025-smart-frameless-chernyi-chernyi-4-2028082/" TargetMode="External" Id="rId362"/><Relationship Type="http://schemas.openxmlformats.org/officeDocument/2006/relationships/hyperlink" Target="https://www.citilink.ru/product/televizor-led-samsung-55-ue55du7100uxru-chernyi-4k-ultra-hd-dvb-t-dvb-2014051/" TargetMode="External" Id="rId363"/><Relationship Type="http://schemas.openxmlformats.org/officeDocument/2006/relationships/hyperlink" Target="https://www.citilink.ru/product/televizor-oled-lg-65-oled65c5rla-arug-smart-korichnevyi-4k-ultra-hd-12-2097791/" TargetMode="External" Id="rId364"/><Relationship Type="http://schemas.openxmlformats.org/officeDocument/2006/relationships/hyperlink" Target="https://www.avito.ru/saratov?q=%D0%A2%D0%B5%D0%BB%D0%B5%D0%B2%D0%B8%D0%B7%D0%BE%D1%80" TargetMode="External" Id="rId365"/><Relationship Type="http://schemas.openxmlformats.org/officeDocument/2006/relationships/hyperlink" Target="https://www.citilink.ru/product/kronshtein-dlya-televizora-onkron-np40-32-65-nastennyi-povorot-i-naklo-1481520/" TargetMode="External" Id="rId366"/><Relationship Type="http://schemas.openxmlformats.org/officeDocument/2006/relationships/hyperlink" Target="https://mnogomebeli.com/stenki/tumba-tv-boss-standart/" TargetMode="External" Id="rId367"/><Relationship Type="http://schemas.openxmlformats.org/officeDocument/2006/relationships/hyperlink" Target="https://hoff.ru/catalog/tumby/tumby_pod_tv/" TargetMode="External" Id="rId368"/><Relationship Type="http://schemas.openxmlformats.org/officeDocument/2006/relationships/hyperlink" Target="https://www.avito.ru/saratov?q=%D0%9A%D1%80%D0%BE%D0%BD%D1%88%D1%82%D0%B5%D0%B9%D0%BD%20/%20%D0%A2%D0%92-%D1%82%D1%83%D0%BC%D0%B1%D0%B0" TargetMode="External" Id="rId369"/><Relationship Type="http://schemas.openxmlformats.org/officeDocument/2006/relationships/hyperlink" Target="https://hoff.ru/catalog/stoly/zhurnalnye-stoliki/" TargetMode="External" Id="rId370"/><Relationship Type="http://schemas.openxmlformats.org/officeDocument/2006/relationships/hyperlink" Target="https://mnogomebeli.com/stoly/zhurnalnyy/stol-zhurnalnyy-lux/!stol-zhurnalnyy-lux-sonoma/" TargetMode="External" Id="rId371"/><Relationship Type="http://schemas.openxmlformats.org/officeDocument/2006/relationships/hyperlink" Target="https://mnogomebeli.com/stoly/zhurnalnyy/stol-transformer-lux/!stol-transformer-venge/" TargetMode="External" Id="rId372"/><Relationship Type="http://schemas.openxmlformats.org/officeDocument/2006/relationships/hyperlink" Target="https://www.avito.ru/saratov?q=%D0%96%D1%83%D1%80%D0%BD%D0%B0%D0%BB%D1%8C%D0%BD%D1%8B%D0%B9%20%D1%81%D1%82%D0%BE%D0%BB" TargetMode="External" Id="rId373"/><Relationship Type="http://schemas.openxmlformats.org/officeDocument/2006/relationships/hyperlink" Target="https://mnogomebeli.com/stenki/stenka-simpl-150/stenka-simpl-150/!stenka-stenka-simpl-150-sonoma/" TargetMode="External" Id="rId374"/><Relationship Type="http://schemas.openxmlformats.org/officeDocument/2006/relationships/hyperlink" Target="https://mnogomebeli.com/stenki/stenki-montana/stenka-montana/!stenka-montana-kraft-seryy/" TargetMode="External" Id="rId375"/><Relationship Type="http://schemas.openxmlformats.org/officeDocument/2006/relationships/hyperlink" Target="https://hoff.ru/catalog/gostinaya/mebel_dlya_gostinykh/" TargetMode="External" Id="rId376"/><Relationship Type="http://schemas.openxmlformats.org/officeDocument/2006/relationships/hyperlink" Target="https://www.avito.ru/saratov?q=%D0%A1%D1%82%D0%B5%D0%BB%D0%BB%D0%B0%D0%B6%20/%20%D1%88%D0%BA%D0%B0%D1%84%20/%20%D1%81%D1%82%D0%B5%D0%BD%D0%BA%D0%B0" TargetMode="External" Id="rId377"/><Relationship Type="http://schemas.openxmlformats.org/officeDocument/2006/relationships/hyperlink" Target="https://mnogomebeli.com/kresla/" TargetMode="External" Id="rId378"/><Relationship Type="http://schemas.openxmlformats.org/officeDocument/2006/relationships/hyperlink" Target="https://mnogomebeli.com/kresla/kresla-dandy/kreslo-krovat-dandy-rogozhka-malmo/" TargetMode="External" Id="rId379"/><Relationship Type="http://schemas.openxmlformats.org/officeDocument/2006/relationships/hyperlink" Target="https://mnogomebeli.com/kresla/kreslo-krovat-boss-loft/kreslo-krovat-boss-loft-velyur-royal/" TargetMode="External" Id="rId380"/><Relationship Type="http://schemas.openxmlformats.org/officeDocument/2006/relationships/hyperlink" Target="https://www.avito.ru/saratov?q=%D0%9A%D1%80%D0%B5%D1%81%D0%BB%D0%BE" TargetMode="External" Id="rId381"/><Relationship Type="http://schemas.openxmlformats.org/officeDocument/2006/relationships/hyperlink" Target="https://hoff.ru/catalog/tovary_dlya_doma/kovry/sovremennye_kovry/kovyer_160x230_sm_sprinkle_id1678242/?articul=80293015" TargetMode="External" Id="rId382"/><Relationship Type="http://schemas.openxmlformats.org/officeDocument/2006/relationships/hyperlink" Target="https://hoff.ru/catalog/tovary_dlya_doma/kovry/sovremennye_kovry/kover_balat_genius_id6290525/?articul=80350692" TargetMode="External" Id="rId383"/><Relationship Type="http://schemas.openxmlformats.org/officeDocument/2006/relationships/hyperlink" Target="https://hoff.ru/catalog/promo/kovry-naturalnye/?razmer_kovra=160h230_sm" TargetMode="External" Id="rId384"/><Relationship Type="http://schemas.openxmlformats.org/officeDocument/2006/relationships/hyperlink" Target="https://www.avito.ru/saratov?q=%D0%9A%D0%BE%D0%B2%D1%91%D1%80" TargetMode="External" Id="rId385"/><Relationship Type="http://schemas.openxmlformats.org/officeDocument/2006/relationships/hyperlink" Target="https://hoff.ru/catalog/tovary_dlya_doma/shtory/gotovye_shtory/komplekty_shtor/" TargetMode="External" Id="rId386"/><Relationship Type="http://schemas.openxmlformats.org/officeDocument/2006/relationships/hyperlink" Target="https://saratov.lemanapro.ru/product/komplekt-shtor-shtorkki-barhat-burgundy-150x260-sm-2-sht-91624436/" TargetMode="External" Id="rId387"/><Relationship Type="http://schemas.openxmlformats.org/officeDocument/2006/relationships/hyperlink" Target="https://hoff.ru/promo/blackout/" TargetMode="External" Id="rId388"/><Relationship Type="http://schemas.openxmlformats.org/officeDocument/2006/relationships/hyperlink" Target="https://www.avito.ru/saratov?q=%D0%A8%D1%82%D0%BE%D1%80%D1%8B%20%2B%20%D0%BA%D0%B0%D1%80%D0%BD%D0%B8%D0%B7" TargetMode="External" Id="rId389"/><Relationship Type="http://schemas.openxmlformats.org/officeDocument/2006/relationships/hyperlink" Target="https://hoff.ru/catalog/promo/torshery-napolnye-dlja-kuhni/?svetodiody=net" TargetMode="External" Id="rId390"/><Relationship Type="http://schemas.openxmlformats.org/officeDocument/2006/relationships/hyperlink" Target="https://hoff.ru/catalog/promo/torshery-napolnye-dlja-kuhni/?svetodiody=net" TargetMode="External" Id="rId391"/><Relationship Type="http://schemas.openxmlformats.org/officeDocument/2006/relationships/hyperlink" Target="https://saratov.lemanapro.ru/catalogue/torshery/" TargetMode="External" Id="rId392"/><Relationship Type="http://schemas.openxmlformats.org/officeDocument/2006/relationships/hyperlink" Target="https://www.avito.ru/saratov?q=%D0%A2%D0%BE%D1%80%D1%88%D0%B5%D1%80%20/%20%D0%B1%D1%80%D0%B0" TargetMode="External" Id="rId393"/><Relationship Type="http://schemas.openxmlformats.org/officeDocument/2006/relationships/hyperlink" Target="https://mnogomebeli.com/shkafy/raspashnye/rim-80-shkaf-raspashnoy-2d/" TargetMode="External" Id="rId394"/><Relationship Type="http://schemas.openxmlformats.org/officeDocument/2006/relationships/hyperlink" Target="https://mnogomebeli.com/shkafy/boss-standart-236/boss-standart-120-236-shkaf-raspashnoy-3d-yashchiki/" TargetMode="External" Id="rId395"/><Relationship Type="http://schemas.openxmlformats.org/officeDocument/2006/relationships/hyperlink" Target="https://www.stolplit.ru/internet-magazin/katalog-mebeli/26-prikhozhaya/" TargetMode="External" Id="rId396"/><Relationship Type="http://schemas.openxmlformats.org/officeDocument/2006/relationships/hyperlink" Target="https://www.avito.ru/saratov?q=%D0%A8%D0%BA%D0%B0%D1%84%20/%20%D0%B2%D0%B5%D1%88%D0%B0%D0%BB%D0%BA%D0%B0%20%2B%20%D0%BE%D0%B1%D1%83%D0%B2%D0%BD%D0%B8%D1%86%D0%B0" TargetMode="External" Id="rId397"/><Relationship Type="http://schemas.openxmlformats.org/officeDocument/2006/relationships/hyperlink" Target="https://www.stolplit.ru/internet-magazin/katalog-mebeli/103-zerkala/" TargetMode="External" Id="rId398"/><Relationship Type="http://schemas.openxmlformats.org/officeDocument/2006/relationships/hyperlink" Target="https://www.stolplit.ru/internet-magazin/katalog-mebeli/103-zerkala/" TargetMode="External" Id="rId399"/><Relationship Type="http://schemas.openxmlformats.org/officeDocument/2006/relationships/hyperlink" Target="https://hoff.ru/catalog/tovary_dlya_doma/dekor/zerkala/zerkala_napolnyie/zerkalo_napolnoe_v_rame_id7464795/?articul=80366932" TargetMode="External" Id="rId400"/><Relationship Type="http://schemas.openxmlformats.org/officeDocument/2006/relationships/hyperlink" Target="https://www.avito.ru/saratov?q=%D0%97%D0%B5%D1%80%D0%BA%D0%B0%D0%BB%D0%BE" TargetMode="External" Id="rId401"/><Relationship Type="http://schemas.openxmlformats.org/officeDocument/2006/relationships/hyperlink" Target="https://www.citilink.ru/product/stiralnaya-mashina-lg-f2y1ns3w-abwpcom-kl-a-front-maks-6kg-belyi-2174333/" TargetMode="External" Id="rId402"/><Relationship Type="http://schemas.openxmlformats.org/officeDocument/2006/relationships/hyperlink" Target="https://www.citilink.ru/product/stiralnaya-mashina-lg-f2v3gs3w-kl-a-front-maks-8-5kg-belyi-1862118/" TargetMode="External" Id="rId403"/><Relationship Type="http://schemas.openxmlformats.org/officeDocument/2006/relationships/hyperlink" Target="https://www.citilink.ru/product/stiralnaya-mashina-lg-f2v9gc9w-kl-a-front-maks-8-5kg-belyi-2002200/" TargetMode="External" Id="rId404"/><Relationship Type="http://schemas.openxmlformats.org/officeDocument/2006/relationships/hyperlink" Target="https://www.avito.ru/saratov?q=%D0%A1%D1%82%D0%B8%D1%80%D0%B0%D0%BB%D1%8C%D0%BD%D0%B0%D1%8F%20%D0%BC%D0%B0%D1%88%D0%B8%D0%BD%D0%B0" TargetMode="External" Id="rId405"/><Relationship Type="http://schemas.openxmlformats.org/officeDocument/2006/relationships/hyperlink" Target="https://www.citilink.ru/product/pylesos-samsung-vcc4520s36-xev-1600vt-sinii-chernyi-1054982/" TargetMode="External" Id="rId406"/><Relationship Type="http://schemas.openxmlformats.org/officeDocument/2006/relationships/hyperlink" Target="https://www.citilink.ru/product/pylesos-robot-xiaomi-robot-vacuum-s20-55vt-belyi-2046983/" TargetMode="External" Id="rId407"/><Relationship Type="http://schemas.openxmlformats.org/officeDocument/2006/relationships/hyperlink" Target="https://www.citilink.ru/catalog/roboty-pylesosy/" TargetMode="External" Id="rId408"/><Relationship Type="http://schemas.openxmlformats.org/officeDocument/2006/relationships/hyperlink" Target="https://www.avito.ru/saratov?q=%D0%9F%D1%8B%D0%BB%D0%B5%D1%81%D0%BE%D1%81" TargetMode="External" Id="rId409"/><Relationship Type="http://schemas.openxmlformats.org/officeDocument/2006/relationships/hyperlink" Target="https://www.citilink.ru/product/wi-fi-router-tp-link-archer-c54-ac1200-chernyi-1413375/" TargetMode="External" Id="rId410"/><Relationship Type="http://schemas.openxmlformats.org/officeDocument/2006/relationships/hyperlink" Target="https://www.citilink.ru/product/wi-fi-router-tp-link-archer-ax53-ax3000-chernyi-1701383/" TargetMode="External" Id="rId411"/><Relationship Type="http://schemas.openxmlformats.org/officeDocument/2006/relationships/hyperlink" Target="https://www.citilink.ru/product/wi-fi-router-tp-link-archer-ax73-ax5400-chernyi-1456375/" TargetMode="External" Id="rId412"/><Relationship Type="http://schemas.openxmlformats.org/officeDocument/2006/relationships/hyperlink" Target="https://www.avito.ru/saratov?q=%D0%A0%D0%BE%D1%83%D1%82%D0%B5%D1%80%20/%20%D0%B8%D0%BD%D1%82%D0%B5%D1%80%D0%BD%D0%B5%D1%82-%D0%BF%D0%BE%D0%B4%D0%BA%D0%BB%D1%8E%D1%87%D0%B5%D0%BD%D0%B8%D0%B5" TargetMode="External" Id="rId413"/><Relationship Type="http://schemas.openxmlformats.org/officeDocument/2006/relationships/hyperlink" Target="https://hoff.ru/catalog/tovary_dlya_doma/aksessuary_dlya_vannoy/tekstil_dlya_vannoy/kovriki/" TargetMode="External" Id="rId414"/><Relationship Type="http://schemas.openxmlformats.org/officeDocument/2006/relationships/hyperlink" Target="https://hoff.ru/catalog/tovary_dlya_doma/tekstil/tekstil_dlya_vannoy/polotentsa_dlya_vannoy/" TargetMode="External" Id="rId415"/><Relationship Type="http://schemas.openxmlformats.org/officeDocument/2006/relationships/hyperlink" Target="https://hoff.ru/catalog/tovary_dlya_doma/tekstil/tekstil_dlya_vannoy/" TargetMode="External" Id="rId416"/><Relationship Type="http://schemas.openxmlformats.org/officeDocument/2006/relationships/hyperlink" Target="https://www.avito.ru/saratov?q=%D0%9F%D0%BE%D0%BB%D0%BE%D1%82%D0%B5%D0%BD%D1%86%D0%B0%2C%20%D0%BA%D0%BE%D0%B2%D1%80%D0%B8%D0%BA%D0%B8%20%D0%B2%20%D1%81%D0%B0%D0%BD%D1%83%D0%B7%D0%BB%D1%8B" TargetMode="External" Id="rId417"/><Relationship Type="http://schemas.openxmlformats.org/officeDocument/2006/relationships/hyperlink" Target="https://www.citilink.ru/catalog/utyugi/" TargetMode="External" Id="rId418"/><Relationship Type="http://schemas.openxmlformats.org/officeDocument/2006/relationships/hyperlink" Target="https://www.citilink.ru/catalog/gladilnye-doski/" TargetMode="External" Id="rId419"/><Relationship Type="http://schemas.openxmlformats.org/officeDocument/2006/relationships/hyperlink" Target="https://www.citilink.ru/catalog/gladilnye-doski/" TargetMode="External" Id="rId420"/><Relationship Type="http://schemas.openxmlformats.org/officeDocument/2006/relationships/hyperlink" Target="https://www.avito.ru/saratov?q=%D0%A3%D1%82%D1%8E%D0%B3%2C%20%D0%B3%D0%BB%D0%B0%D0%B4%D0%B8%D0%BB%D1%8C%D0%BD%D0%B0%D1%8F%20%D0%B4%D0%BE%D1%81%D0%BA%D0%B0%2C%20%D1%81%D1%83%D1%88%D0%B8%D0%BB%D0%BA%D0%B0" TargetMode="External" Id="rId421"/><Relationship Type="http://schemas.openxmlformats.org/officeDocument/2006/relationships/hyperlink" Target="https://profi.ru/geo-saratov/remont/mebel/sborka-mebeli/sborka-kuhonnogo-garnitura/" TargetMode="External" Id="rId422"/><Relationship Type="http://schemas.openxmlformats.org/officeDocument/2006/relationships/hyperlink" Target="https://saratov.gor-master.ru/sborka-ustanovka-kuhni" TargetMode="External" Id="rId423"/><Relationship Type="http://schemas.openxmlformats.org/officeDocument/2006/relationships/hyperlink" Target="https://profi.ru/geo-saratov/remont/mebel/sborka-mebeli/sborka-kuhonnogo-garnitura/" TargetMode="External" Id="rId424"/><Relationship Type="http://schemas.openxmlformats.org/officeDocument/2006/relationships/hyperlink" Target="https://www.avito.ru/saratov/predlozheniya_uslug?q=%D0%A1%D0%B1%D0%BE%D1%80%D0%BA%D0%B0%20%D0%B8%20%D1%83%D1%81%D1%82%D0%B0%D0%BD%D0%BE%D0%B2%D0%BA%D0%B0%20%D0%BA%D1%83%D1%85%D0%BD%D0%B8%2C%20%D0%BF%D0%BE%D0%B4%D0%BA%D0%BB%D1%8E%D1%87%D0%B5%D0%BD%D0%B8%D0%B5%20%D1%82%D0%B5%D1%85%D0%BD%D0%B8%D0%BA%D0%B8%20%D0%A1%D0%B0%D1%80%D0%B0%D1%82%D0%BE%D0%B2" TargetMode="External" Id="rId425"/><Relationship Type="http://schemas.openxmlformats.org/officeDocument/2006/relationships/hyperlink" Target="https://hoff.ru/services/sborka_mebeli_i_ustanovka_tehniki/" TargetMode="External" Id="rId426"/><Relationship Type="http://schemas.openxmlformats.org/officeDocument/2006/relationships/hyperlink" Target="https://profi.ru/geo-saratov/remont/mebel/sborka-mebeli/" TargetMode="External" Id="rId427"/><Relationship Type="http://schemas.openxmlformats.org/officeDocument/2006/relationships/hyperlink" Target="https://saratov.gor-master.ru/sborka-mebeli" TargetMode="External" Id="rId428"/><Relationship Type="http://schemas.openxmlformats.org/officeDocument/2006/relationships/hyperlink" Target="https://www.avito.ru/saratov/predlozheniya_uslug?q=%D0%A1%D0%B1%D0%BE%D1%80%D0%BA%D0%B0%20%D0%BC%D0%B5%D0%B1%D0%B5%D0%BB%D0%B8%20%D0%A1%D0%B0%D1%80%D0%B0%D1%82%D0%BE%D0%B2" TargetMode="External" Id="rId429"/><Relationship Type="http://schemas.openxmlformats.org/officeDocument/2006/relationships/hyperlink" Target="https://saratov.gor-master.ru/muzh-na-chas" TargetMode="External" Id="rId430"/><Relationship Type="http://schemas.openxmlformats.org/officeDocument/2006/relationships/hyperlink" Target="https://saratov.masterabyta.ru/melkij-remont-v-kvartire/ustanovka-televizora-na-stenu/" TargetMode="External" Id="rId431"/><Relationship Type="http://schemas.openxmlformats.org/officeDocument/2006/relationships/hyperlink" Target="https://muzhnachas-saratov.ru/" TargetMode="External" Id="rId432"/><Relationship Type="http://schemas.openxmlformats.org/officeDocument/2006/relationships/hyperlink" Target="https://www.avito.ru/saratov/predlozheniya_uslug?q=%D0%9D%D0%B0%D0%B2%D0%B5%D1%81%20%D0%BA%D0%B0%D1%80%D0%BD%D0%B8%D0%B7%D0%BE%D0%B2%2C%20%D0%BA%D1%80%D0%BE%D0%BD%D1%88%D1%82%D0%B5%D0%B9%D0%BD%D0%B0%20%D0%A2%D0%92%2C%20%D0%B7%D0%B5%D1%80%D0%BA%D0%B0%D0%BB%2C%20%D0%BF%D0%BE%D0%BB%D0%BE%D0%BA%20%D0%A1%D0%B0%D1%80%D0%B0%D1%82%D0%BE%D0%B2" TargetMode="External" Id="rId433"/><Relationship Type="http://schemas.openxmlformats.org/officeDocument/2006/relationships/hyperlink" Target="https://saratov.d-mastera.ru/tseny-na-uslugi-santehnika/" TargetMode="External" Id="rId434"/><Relationship Type="http://schemas.openxmlformats.org/officeDocument/2006/relationships/hyperlink" Target="https://saratov.profi.ru/remont/byttehnika/podklyuchenie-bytovoi-tehniki/podklyuchenie-stiralnyh-mashin/price/" TargetMode="External" Id="rId435"/><Relationship Type="http://schemas.openxmlformats.org/officeDocument/2006/relationships/hyperlink" Target="https://saratov.garantstroikompleks.ru/prajs-list" TargetMode="External" Id="rId436"/><Relationship Type="http://schemas.openxmlformats.org/officeDocument/2006/relationships/hyperlink" Target="https://www.avito.ru/saratov/predlozheniya_uslug?q=%D0%9F%D0%BE%D0%B4%D0%BA%D0%BB%D1%8E%D1%87%D0%B5%D0%BD%D0%B8%D0%B5%20%D1%81%D1%82%D0%B8%D1%80%D0%B0%D0%BB%D1%8C%D0%BD%D0%BE%D0%B9%20%D0%BC%D0%B0%D1%88%D0%B8%D0%BD%D1%8B%20%D0%A1%D0%B0%D1%80%D0%B0%D1%82%D0%BE%D0%B2" TargetMode="External" Id="rId437"/><Relationship Type="http://schemas.openxmlformats.org/officeDocument/2006/relationships/hyperlink" Target="https://saratov.100gryzchikov.ru/" TargetMode="External" Id="rId438"/><Relationship Type="http://schemas.openxmlformats.org/officeDocument/2006/relationships/hyperlink" Target="https://hoff.ru/services/sborka_mebeli_i_ustanovka_tehniki/" TargetMode="External" Id="rId439"/><Relationship Type="http://schemas.openxmlformats.org/officeDocument/2006/relationships/hyperlink" Target="https://profi.ru/geo-saratov/raznoe/perevozka-mebeli/" TargetMode="External" Id="rId440"/><Relationship Type="http://schemas.openxmlformats.org/officeDocument/2006/relationships/hyperlink" Target="https://www.avito.ru/saratov/predlozheniya_uslug?q=%D0%94%D0%BE%D1%81%D1%82%D0%B0%D0%B2%D0%BA%D0%B0%20%D0%B8%20%D0%BF%D0%BE%D0%B4%D1%8A%D1%91%D0%BC%20%D0%BC%D0%B5%D0%B1%D0%B5%D0%BB%D0%B8%20%D0%B8%20%D1%82%D0%B5%D1%85%D0%BD%D0%B8%D0%BA%D0%B8%20%D0%A1%D0%B0%D1%80%D0%B0%D1%82%D0%BE%D0%B2" TargetMode="External" Id="rId44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Normal="100" workbookViewId="0"/>
  </sheetViews>
  <sheetFormatPr baseColWidth="10" defaultColWidth="8.6640625" defaultRowHeight="15" x14ac:dyDescent="0.2"/>
  <cols>
    <col min="1" max="1" width="40" customWidth="1"/>
    <col min="2" max="2" width="12" customWidth="1"/>
    <col min="3" max="3" width="80" customWidth="1"/>
  </cols>
  <sheetData>
    <row r="1" spans="1:3" ht="17" x14ac:dyDescent="0.2">
      <c r="A1" s="2" t="s">
        <v>0</v>
      </c>
    </row>
    <row r="3" spans="1:3" x14ac:dyDescent="0.2">
      <c r="A3" s="3" t="s">
        <v>1</v>
      </c>
      <c r="B3" s="3" t="s">
        <v>2</v>
      </c>
      <c r="C3" s="3" t="s">
        <v>3</v>
      </c>
    </row>
    <row r="4" spans="1:3" x14ac:dyDescent="0.2">
      <c r="A4" s="4" t="s">
        <v>4</v>
      </c>
      <c r="B4" s="5">
        <v>55.1</v>
      </c>
      <c r="C4" s="4" t="s">
        <v>5</v>
      </c>
    </row>
    <row r="5" spans="1:3" x14ac:dyDescent="0.2">
      <c r="A5" s="4" t="s">
        <v>6</v>
      </c>
      <c r="B5" s="5">
        <v>42</v>
      </c>
      <c r="C5" s="4" t="s">
        <v>7</v>
      </c>
    </row>
    <row r="6" spans="1:3" x14ac:dyDescent="0.2">
      <c r="A6" s="4" t="s">
        <v>8</v>
      </c>
      <c r="B6" s="6">
        <v>7.0000000000000007E-2</v>
      </c>
      <c r="C6" s="4" t="s">
        <v>9</v>
      </c>
    </row>
    <row r="7" spans="1:3" x14ac:dyDescent="0.2">
      <c r="A7" s="4" t="s">
        <v>10</v>
      </c>
      <c r="B7" s="5">
        <v>52.4</v>
      </c>
      <c r="C7" s="4" t="s">
        <v>11</v>
      </c>
    </row>
    <row r="8" spans="1:3" x14ac:dyDescent="0.2">
      <c r="A8" s="4" t="s">
        <v>12</v>
      </c>
      <c r="B8" s="5">
        <v>50</v>
      </c>
      <c r="C8" s="4" t="s">
        <v>13</v>
      </c>
    </row>
    <row r="9" spans="1:3" x14ac:dyDescent="0.2">
      <c r="A9" s="4" t="s">
        <v>14</v>
      </c>
      <c r="B9" s="5">
        <v>30</v>
      </c>
      <c r="C9" s="4" t="s">
        <v>15</v>
      </c>
    </row>
    <row r="10" spans="1:3" x14ac:dyDescent="0.2">
      <c r="A10" s="4" t="s">
        <v>16</v>
      </c>
      <c r="B10" s="5">
        <v>8</v>
      </c>
      <c r="C10" s="4"/>
    </row>
    <row r="11" spans="1:3" x14ac:dyDescent="0.2">
      <c r="A11" s="4" t="s">
        <v>17</v>
      </c>
      <c r="B11" s="5">
        <v>25</v>
      </c>
      <c r="C11" s="4" t="s">
        <v>18</v>
      </c>
    </row>
    <row r="12" spans="1:3" x14ac:dyDescent="0.2">
      <c r="A12" s="4" t="s">
        <v>19</v>
      </c>
      <c r="B12" s="5">
        <v>12</v>
      </c>
      <c r="C12" s="4" t="s">
        <v>20</v>
      </c>
    </row>
    <row r="13" spans="1:3" x14ac:dyDescent="0.2">
      <c r="A13" s="4" t="s">
        <v>21</v>
      </c>
      <c r="B13" s="5">
        <v>2</v>
      </c>
      <c r="C13" s="4" t="s">
        <v>22</v>
      </c>
    </row>
    <row r="14" spans="1:3" x14ac:dyDescent="0.2">
      <c r="A14" s="4" t="s">
        <v>23</v>
      </c>
      <c r="B14" s="5">
        <v>2</v>
      </c>
      <c r="C14" s="4" t="s">
        <v>24</v>
      </c>
    </row>
    <row r="15" spans="1:3" x14ac:dyDescent="0.2">
      <c r="A15" s="4" t="s">
        <v>25</v>
      </c>
      <c r="B15" s="5">
        <v>120</v>
      </c>
      <c r="C15" s="4" t="s">
        <v>26</v>
      </c>
    </row>
    <row r="16" spans="1:3" x14ac:dyDescent="0.2">
      <c r="A16" s="4" t="s">
        <v>27</v>
      </c>
      <c r="B16" s="5">
        <v>3</v>
      </c>
      <c r="C16" s="4" t="s">
        <v>28</v>
      </c>
    </row>
    <row r="17" spans="1:3" x14ac:dyDescent="0.2">
      <c r="A17" s="4" t="s">
        <v>29</v>
      </c>
      <c r="B17" s="5">
        <v>1</v>
      </c>
      <c r="C17" s="4" t="s">
        <v>30</v>
      </c>
    </row>
    <row r="18" spans="1:3" x14ac:dyDescent="0.2">
      <c r="A18" s="4" t="s">
        <v>31</v>
      </c>
      <c r="B18" s="6">
        <v>0.1</v>
      </c>
      <c r="C18" s="4" t="s">
        <v>32</v>
      </c>
    </row>
    <row r="21" spans="1:3" x14ac:dyDescent="0.2">
      <c r="A21" s="7" t="s">
        <v>33</v>
      </c>
    </row>
    <row r="22" spans="1:3" x14ac:dyDescent="0.2">
      <c r="A22" t="s">
        <v>34</v>
      </c>
    </row>
    <row r="23" spans="1:3" x14ac:dyDescent="0.2">
      <c r="A23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74" sqref="I74"/>
    </sheetView>
  </sheetViews>
  <sheetFormatPr baseColWidth="10" defaultColWidth="8.6640625" defaultRowHeight="15" x14ac:dyDescent="0.2"/>
  <cols>
    <col min="1" max="1" width="4" style="12" customWidth="1"/>
    <col min="2" max="2" width="14" style="12" customWidth="1"/>
    <col min="3" max="3" width="46" style="12" customWidth="1"/>
    <col min="4" max="4" width="6" style="12" customWidth="1"/>
    <col min="5" max="5" width="8" style="12" customWidth="1"/>
    <col min="6" max="6" width="11" style="12" customWidth="1"/>
    <col min="7" max="7" width="12" style="12" customWidth="1"/>
    <col min="8" max="8" width="11" style="12" customWidth="1"/>
    <col min="9" max="9" width="12" style="12" customWidth="1"/>
    <col min="10" max="10" width="11" style="12" customWidth="1"/>
    <col min="11" max="11" width="12" style="12" customWidth="1"/>
    <col min="12" max="12" width="49.83203125" style="12" customWidth="1"/>
    <col min="13" max="13" width="10" style="12" customWidth="1"/>
    <col min="14" max="14" width="12" style="12" customWidth="1"/>
    <col min="15" max="16384" width="8.6640625" style="12"/>
  </cols>
  <sheetData>
    <row r="1" spans="1:14" ht="17" x14ac:dyDescent="0.2">
      <c r="A1" s="11" t="s">
        <v>36</v>
      </c>
    </row>
    <row r="2" spans="1:14" x14ac:dyDescent="0.2">
      <c r="A2" s="12" t="s">
        <v>37</v>
      </c>
    </row>
    <row r="4" spans="1:14" ht="28" x14ac:dyDescent="0.2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  <c r="F4" s="13" t="s">
        <v>43</v>
      </c>
      <c r="G4" s="14" t="s">
        <v>44</v>
      </c>
      <c r="H4" s="13" t="s">
        <v>45</v>
      </c>
      <c r="I4" s="14" t="s">
        <v>46</v>
      </c>
      <c r="J4" s="13" t="s">
        <v>47</v>
      </c>
      <c r="K4" s="14" t="s">
        <v>48</v>
      </c>
      <c r="L4" s="13" t="s">
        <v>49</v>
      </c>
      <c r="M4" s="13" t="s">
        <v>50</v>
      </c>
      <c r="N4" s="13" t="s">
        <v>51</v>
      </c>
    </row>
    <row r="5" spans="1:14" x14ac:dyDescent="0.2">
      <c r="A5" s="15" t="s">
        <v>52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32" x14ac:dyDescent="0.2">
      <c r="A6" s="17">
        <v>1</v>
      </c>
      <c r="B6" s="17" t="s">
        <v>53</v>
      </c>
      <c r="C6" s="17" t="s">
        <v>54</v>
      </c>
      <c r="D6" s="17" t="s">
        <v>55</v>
      </c>
      <c r="E6" s="32">
        <f>ROUND(Параметры!$B$5*(1+Параметры!$B$6),0)</f>
        <v>45</v>
      </c>
      <c r="F6" s="19">
        <v>700</v>
      </c>
      <c r="G6" s="20">
        <f>E6*F6</f>
        <v>31500</v>
      </c>
      <c r="H6" s="19">
        <v>1150</v>
      </c>
      <c r="I6" s="20">
        <f>E6*H6</f>
        <v>51750</v>
      </c>
      <c r="J6" s="19">
        <v>2300</v>
      </c>
      <c r="K6" s="20">
        <f>E6*J6</f>
        <v>103500</v>
      </c>
      <c r="L6" s="17" t="s">
        <v>56</v>
      </c>
      <c r="M6" s="18" t="s">
        <v>57</v>
      </c>
      <c r="N6" s="20">
        <f>IF(M6="МИН",G6,IF(M6="МАКС",K6,I6))</f>
        <v>51750</v>
      </c>
    </row>
    <row r="7" spans="1:14" ht="32" x14ac:dyDescent="0.2">
      <c r="A7" s="17">
        <v>2</v>
      </c>
      <c r="B7" s="17" t="s">
        <v>53</v>
      </c>
      <c r="C7" s="17" t="s">
        <v>58</v>
      </c>
      <c r="D7" s="17" t="s">
        <v>55</v>
      </c>
      <c r="E7" s="32">
        <f>ROUND(Параметры!$B$5*(1+Параметры!$B$6),0)</f>
        <v>45</v>
      </c>
      <c r="F7" s="19">
        <v>100</v>
      </c>
      <c r="G7" s="20">
        <f>E7*F7</f>
        <v>4500</v>
      </c>
      <c r="H7" s="19">
        <v>200</v>
      </c>
      <c r="I7" s="20">
        <f>E7*H7</f>
        <v>9000</v>
      </c>
      <c r="J7" s="19">
        <v>350</v>
      </c>
      <c r="K7" s="20">
        <f>E7*J7</f>
        <v>15750</v>
      </c>
      <c r="L7" s="17" t="s">
        <v>59</v>
      </c>
      <c r="M7" s="18" t="s">
        <v>57</v>
      </c>
      <c r="N7" s="20">
        <f>IF(M7="МИН",G7,IF(M7="МАКС",K7,I7))</f>
        <v>9000</v>
      </c>
    </row>
    <row r="8" spans="1:14" ht="16" x14ac:dyDescent="0.2">
      <c r="A8" s="17">
        <v>3</v>
      </c>
      <c r="B8" s="17" t="s">
        <v>53</v>
      </c>
      <c r="C8" s="17" t="s">
        <v>60</v>
      </c>
      <c r="D8" s="17" t="s">
        <v>55</v>
      </c>
      <c r="E8" s="32">
        <f>ROUND(Параметры!$B$5*(1+Параметры!$B$6),0)</f>
        <v>45</v>
      </c>
      <c r="F8" s="19">
        <v>30</v>
      </c>
      <c r="G8" s="20">
        <f>E8*F8</f>
        <v>1350</v>
      </c>
      <c r="H8" s="19">
        <v>40</v>
      </c>
      <c r="I8" s="20">
        <f>E8*H8</f>
        <v>1800</v>
      </c>
      <c r="J8" s="19">
        <v>40</v>
      </c>
      <c r="K8" s="20">
        <f>E8*J8</f>
        <v>1800</v>
      </c>
      <c r="L8" s="17" t="s">
        <v>61</v>
      </c>
      <c r="M8" s="18" t="s">
        <v>57</v>
      </c>
      <c r="N8" s="20">
        <f>IF(M8="МИН",G8,IF(M8="МАКС",K8,I8))</f>
        <v>1800</v>
      </c>
    </row>
    <row r="9" spans="1:14" ht="48" x14ac:dyDescent="0.2">
      <c r="A9" s="17">
        <v>4</v>
      </c>
      <c r="B9" s="17" t="s">
        <v>53</v>
      </c>
      <c r="C9" s="17" t="s">
        <v>62</v>
      </c>
      <c r="D9" s="17" t="s">
        <v>63</v>
      </c>
      <c r="E9" s="32">
        <f>Параметры!$B$8</f>
        <v>50</v>
      </c>
      <c r="F9" s="19">
        <v>130</v>
      </c>
      <c r="G9" s="20">
        <f>E9*F9</f>
        <v>6500</v>
      </c>
      <c r="H9" s="19">
        <v>350</v>
      </c>
      <c r="I9" s="20">
        <f>E9*H9</f>
        <v>17500</v>
      </c>
      <c r="J9" s="19">
        <v>800</v>
      </c>
      <c r="K9" s="20">
        <f>E9*J9</f>
        <v>40000</v>
      </c>
      <c r="L9" s="17" t="s">
        <v>64</v>
      </c>
      <c r="M9" s="18" t="s">
        <v>57</v>
      </c>
      <c r="N9" s="20">
        <f>IF(M9="МИН",G9,IF(M9="МАКС",K9,I9))</f>
        <v>17500</v>
      </c>
    </row>
    <row r="10" spans="1:14" ht="32" x14ac:dyDescent="0.2">
      <c r="A10" s="17">
        <v>5</v>
      </c>
      <c r="B10" s="17" t="s">
        <v>53</v>
      </c>
      <c r="C10" s="17" t="s">
        <v>65</v>
      </c>
      <c r="D10" s="17" t="s">
        <v>66</v>
      </c>
      <c r="E10" s="18">
        <v>1</v>
      </c>
      <c r="F10" s="19">
        <v>1500</v>
      </c>
      <c r="G10" s="20">
        <f>E10*F10</f>
        <v>1500</v>
      </c>
      <c r="H10" s="19">
        <v>3000</v>
      </c>
      <c r="I10" s="20">
        <f>E10*H10</f>
        <v>3000</v>
      </c>
      <c r="J10" s="19">
        <v>6000</v>
      </c>
      <c r="K10" s="20">
        <f>E10*J10</f>
        <v>6000</v>
      </c>
      <c r="L10" s="17" t="s">
        <v>67</v>
      </c>
      <c r="M10" s="18" t="s">
        <v>57</v>
      </c>
      <c r="N10" s="20">
        <f>IF(M10="МИН",G10,IF(M10="МАКС",K10,I10))</f>
        <v>3000</v>
      </c>
    </row>
    <row r="11" spans="1:14" x14ac:dyDescent="0.2">
      <c r="A11" s="15" t="s">
        <v>68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48" x14ac:dyDescent="0.2">
      <c r="A12" s="17">
        <v>6</v>
      </c>
      <c r="B12" s="17" t="s">
        <v>69</v>
      </c>
      <c r="C12" s="17" t="s">
        <v>70</v>
      </c>
      <c r="D12" s="17" t="s">
        <v>55</v>
      </c>
      <c r="E12" s="32">
        <f>Параметры!$B$7</f>
        <v>52.4</v>
      </c>
      <c r="F12" s="19">
        <v>400</v>
      </c>
      <c r="G12" s="20">
        <f>E12*F12</f>
        <v>20960</v>
      </c>
      <c r="H12" s="19">
        <v>950</v>
      </c>
      <c r="I12" s="20">
        <f>E12*H12</f>
        <v>49780</v>
      </c>
      <c r="J12" s="19">
        <v>1800</v>
      </c>
      <c r="K12" s="20">
        <f>E12*J12</f>
        <v>94320</v>
      </c>
      <c r="L12" s="17" t="s">
        <v>71</v>
      </c>
      <c r="M12" s="18" t="s">
        <v>57</v>
      </c>
      <c r="N12" s="20">
        <f>IF(M12="МИН",G12,IF(M12="МАКС",K12,I12))</f>
        <v>49780</v>
      </c>
    </row>
    <row r="13" spans="1:14" ht="32" x14ac:dyDescent="0.2">
      <c r="A13" s="17">
        <v>7</v>
      </c>
      <c r="B13" s="17" t="s">
        <v>69</v>
      </c>
      <c r="C13" s="17" t="s">
        <v>72</v>
      </c>
      <c r="D13" s="17" t="s">
        <v>66</v>
      </c>
      <c r="E13" s="18">
        <v>1</v>
      </c>
      <c r="F13" s="19">
        <v>2000</v>
      </c>
      <c r="G13" s="20">
        <f>E13*F13</f>
        <v>2000</v>
      </c>
      <c r="H13" s="19">
        <v>4000</v>
      </c>
      <c r="I13" s="20">
        <f>E13*H13</f>
        <v>4000</v>
      </c>
      <c r="J13" s="19">
        <v>8000</v>
      </c>
      <c r="K13" s="20">
        <f>E13*J13</f>
        <v>8000</v>
      </c>
      <c r="L13" s="17" t="s">
        <v>73</v>
      </c>
      <c r="M13" s="18" t="s">
        <v>57</v>
      </c>
      <c r="N13" s="20">
        <f>IF(M13="МИН",G13,IF(M13="МАКС",K13,I13))</f>
        <v>4000</v>
      </c>
    </row>
    <row r="14" spans="1:14" ht="32" x14ac:dyDescent="0.2">
      <c r="A14" s="17">
        <v>8</v>
      </c>
      <c r="B14" s="17" t="s">
        <v>69</v>
      </c>
      <c r="C14" s="17" t="s">
        <v>74</v>
      </c>
      <c r="D14" s="17" t="s">
        <v>66</v>
      </c>
      <c r="E14" s="18">
        <v>1</v>
      </c>
      <c r="F14" s="19">
        <v>6000</v>
      </c>
      <c r="G14" s="20">
        <f>E14*F14</f>
        <v>6000</v>
      </c>
      <c r="H14" s="19">
        <v>12000</v>
      </c>
      <c r="I14" s="20">
        <f>E14*H14</f>
        <v>12000</v>
      </c>
      <c r="J14" s="19">
        <v>20000</v>
      </c>
      <c r="K14" s="20">
        <f>E14*J14</f>
        <v>20000</v>
      </c>
      <c r="L14" s="17"/>
      <c r="M14" s="18" t="s">
        <v>57</v>
      </c>
      <c r="N14" s="20">
        <f>IF(M14="МИН",G14,IF(M14="МАКС",K14,I14))</f>
        <v>12000</v>
      </c>
    </row>
    <row r="15" spans="1:14" ht="32" x14ac:dyDescent="0.2">
      <c r="A15" s="17">
        <v>9</v>
      </c>
      <c r="B15" s="17" t="s">
        <v>69</v>
      </c>
      <c r="C15" s="17" t="s">
        <v>75</v>
      </c>
      <c r="D15" s="17" t="s">
        <v>76</v>
      </c>
      <c r="E15" s="32">
        <f>Параметры!$B$12</f>
        <v>12</v>
      </c>
      <c r="F15" s="19">
        <v>250</v>
      </c>
      <c r="G15" s="20">
        <f>E15*F15</f>
        <v>3000</v>
      </c>
      <c r="H15" s="19">
        <v>700</v>
      </c>
      <c r="I15" s="20">
        <f>E15*H15</f>
        <v>8400</v>
      </c>
      <c r="J15" s="19">
        <v>2500</v>
      </c>
      <c r="K15" s="20">
        <f>E15*J15</f>
        <v>30000</v>
      </c>
      <c r="L15" s="17" t="s">
        <v>77</v>
      </c>
      <c r="M15" s="18" t="s">
        <v>57</v>
      </c>
      <c r="N15" s="20">
        <f>IF(M15="МИН",G15,IF(M15="МАКС",K15,I15))</f>
        <v>8400</v>
      </c>
    </row>
    <row r="16" spans="1:14" ht="32" x14ac:dyDescent="0.2">
      <c r="A16" s="17">
        <v>10</v>
      </c>
      <c r="B16" s="17" t="s">
        <v>69</v>
      </c>
      <c r="C16" s="17" t="s">
        <v>78</v>
      </c>
      <c r="D16" s="17" t="s">
        <v>66</v>
      </c>
      <c r="E16" s="18">
        <v>1</v>
      </c>
      <c r="F16" s="19">
        <v>0</v>
      </c>
      <c r="G16" s="20">
        <f>E16*F16</f>
        <v>0</v>
      </c>
      <c r="H16" s="19">
        <v>5000</v>
      </c>
      <c r="I16" s="20">
        <f>E16*H16</f>
        <v>5000</v>
      </c>
      <c r="J16" s="19">
        <v>12000</v>
      </c>
      <c r="K16" s="20">
        <f>E16*J16</f>
        <v>12000</v>
      </c>
      <c r="L16" s="17" t="s">
        <v>79</v>
      </c>
      <c r="M16" s="18" t="s">
        <v>57</v>
      </c>
      <c r="N16" s="20">
        <f>IF(M16="МИН",G16,IF(M16="МАКС",K16,I16))</f>
        <v>5000</v>
      </c>
    </row>
    <row r="17" spans="1:14" x14ac:dyDescent="0.2">
      <c r="A17" s="15" t="s">
        <v>80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48" x14ac:dyDescent="0.2">
      <c r="A18" s="17">
        <v>11</v>
      </c>
      <c r="B18" s="17" t="s">
        <v>81</v>
      </c>
      <c r="C18" s="17" t="s">
        <v>82</v>
      </c>
      <c r="D18" s="17" t="s">
        <v>76</v>
      </c>
      <c r="E18" s="18">
        <v>1</v>
      </c>
      <c r="F18" s="19">
        <v>8000</v>
      </c>
      <c r="G18" s="20">
        <f t="shared" ref="G18:G31" si="0">E18*F18</f>
        <v>8000</v>
      </c>
      <c r="H18" s="19">
        <v>18000</v>
      </c>
      <c r="I18" s="20">
        <f t="shared" ref="I18:I31" si="1">E18*H18</f>
        <v>18000</v>
      </c>
      <c r="J18" s="19">
        <v>45000</v>
      </c>
      <c r="K18" s="20">
        <f t="shared" ref="K18:K31" si="2">E18*J18</f>
        <v>45000</v>
      </c>
      <c r="L18" s="17" t="s">
        <v>83</v>
      </c>
      <c r="M18" s="18" t="s">
        <v>57</v>
      </c>
      <c r="N18" s="20">
        <f t="shared" ref="N18:N31" si="3">IF(M18="МИН",G18,IF(M18="МАКС",K18,I18))</f>
        <v>18000</v>
      </c>
    </row>
    <row r="19" spans="1:14" ht="16" x14ac:dyDescent="0.2">
      <c r="A19" s="17">
        <v>12</v>
      </c>
      <c r="B19" s="17" t="s">
        <v>81</v>
      </c>
      <c r="C19" s="17" t="s">
        <v>84</v>
      </c>
      <c r="D19" s="17" t="s">
        <v>76</v>
      </c>
      <c r="E19" s="32">
        <f>Параметры!$B$14</f>
        <v>2</v>
      </c>
      <c r="F19" s="19">
        <v>3000</v>
      </c>
      <c r="G19" s="20">
        <f t="shared" si="0"/>
        <v>6000</v>
      </c>
      <c r="H19" s="19">
        <v>8000</v>
      </c>
      <c r="I19" s="20">
        <f t="shared" si="1"/>
        <v>16000</v>
      </c>
      <c r="J19" s="19">
        <v>18000</v>
      </c>
      <c r="K19" s="20">
        <f t="shared" si="2"/>
        <v>36000</v>
      </c>
      <c r="L19" s="17"/>
      <c r="M19" s="18" t="s">
        <v>57</v>
      </c>
      <c r="N19" s="20">
        <f t="shared" si="3"/>
        <v>16000</v>
      </c>
    </row>
    <row r="20" spans="1:14" ht="32" x14ac:dyDescent="0.2">
      <c r="A20" s="17">
        <v>13</v>
      </c>
      <c r="B20" s="17" t="s">
        <v>81</v>
      </c>
      <c r="C20" s="17" t="s">
        <v>85</v>
      </c>
      <c r="D20" s="17" t="s">
        <v>76</v>
      </c>
      <c r="E20" s="32">
        <f>Параметры!$B$14</f>
        <v>2</v>
      </c>
      <c r="F20" s="19">
        <v>2500</v>
      </c>
      <c r="G20" s="20">
        <f t="shared" si="0"/>
        <v>5000</v>
      </c>
      <c r="H20" s="19">
        <v>7000</v>
      </c>
      <c r="I20" s="20">
        <f t="shared" si="1"/>
        <v>14000</v>
      </c>
      <c r="J20" s="19">
        <v>18000</v>
      </c>
      <c r="K20" s="20">
        <f t="shared" si="2"/>
        <v>36000</v>
      </c>
      <c r="L20" s="17" t="s">
        <v>86</v>
      </c>
      <c r="M20" s="18" t="s">
        <v>57</v>
      </c>
      <c r="N20" s="20">
        <f t="shared" si="3"/>
        <v>14000</v>
      </c>
    </row>
    <row r="21" spans="1:14" ht="16" x14ac:dyDescent="0.2">
      <c r="A21" s="17">
        <v>14</v>
      </c>
      <c r="B21" s="17" t="s">
        <v>81</v>
      </c>
      <c r="C21" s="17" t="s">
        <v>87</v>
      </c>
      <c r="D21" s="17" t="s">
        <v>76</v>
      </c>
      <c r="E21" s="32">
        <f>Параметры!$B$14</f>
        <v>2</v>
      </c>
      <c r="F21" s="19">
        <v>700</v>
      </c>
      <c r="G21" s="20">
        <f t="shared" si="0"/>
        <v>1400</v>
      </c>
      <c r="H21" s="19">
        <v>1500</v>
      </c>
      <c r="I21" s="20">
        <f t="shared" si="1"/>
        <v>3000</v>
      </c>
      <c r="J21" s="19">
        <v>3500</v>
      </c>
      <c r="K21" s="20">
        <f t="shared" si="2"/>
        <v>7000</v>
      </c>
      <c r="L21" s="17"/>
      <c r="M21" s="18" t="s">
        <v>57</v>
      </c>
      <c r="N21" s="20">
        <f t="shared" si="3"/>
        <v>3000</v>
      </c>
    </row>
    <row r="22" spans="1:14" ht="32" x14ac:dyDescent="0.2">
      <c r="A22" s="17">
        <v>15</v>
      </c>
      <c r="B22" s="17" t="s">
        <v>81</v>
      </c>
      <c r="C22" s="17" t="s">
        <v>88</v>
      </c>
      <c r="D22" s="17" t="s">
        <v>76</v>
      </c>
      <c r="E22" s="32">
        <f>Параметры!$B$14</f>
        <v>2</v>
      </c>
      <c r="F22" s="19">
        <v>6000</v>
      </c>
      <c r="G22" s="20">
        <f t="shared" si="0"/>
        <v>12000</v>
      </c>
      <c r="H22" s="19">
        <v>18000</v>
      </c>
      <c r="I22" s="20">
        <f t="shared" si="1"/>
        <v>36000</v>
      </c>
      <c r="J22" s="19">
        <v>45000</v>
      </c>
      <c r="K22" s="20">
        <f t="shared" si="2"/>
        <v>90000</v>
      </c>
      <c r="L22" s="17" t="s">
        <v>89</v>
      </c>
      <c r="M22" s="18" t="s">
        <v>57</v>
      </c>
      <c r="N22" s="20">
        <f t="shared" si="3"/>
        <v>36000</v>
      </c>
    </row>
    <row r="23" spans="1:14" ht="32" x14ac:dyDescent="0.2">
      <c r="A23" s="17">
        <v>16</v>
      </c>
      <c r="B23" s="17" t="s">
        <v>81</v>
      </c>
      <c r="C23" s="17" t="s">
        <v>90</v>
      </c>
      <c r="D23" s="17" t="s">
        <v>66</v>
      </c>
      <c r="E23" s="18">
        <v>1</v>
      </c>
      <c r="F23" s="19">
        <v>4000</v>
      </c>
      <c r="G23" s="20">
        <f t="shared" si="0"/>
        <v>4000</v>
      </c>
      <c r="H23" s="19">
        <v>15000</v>
      </c>
      <c r="I23" s="20">
        <f t="shared" si="1"/>
        <v>15000</v>
      </c>
      <c r="J23" s="19">
        <v>45000</v>
      </c>
      <c r="K23" s="20">
        <f t="shared" si="2"/>
        <v>45000</v>
      </c>
      <c r="L23" s="17" t="s">
        <v>91</v>
      </c>
      <c r="M23" s="18" t="s">
        <v>57</v>
      </c>
      <c r="N23" s="20">
        <f t="shared" si="3"/>
        <v>15000</v>
      </c>
    </row>
    <row r="24" spans="1:14" ht="32" x14ac:dyDescent="0.2">
      <c r="A24" s="17">
        <v>17</v>
      </c>
      <c r="B24" s="17" t="s">
        <v>81</v>
      </c>
      <c r="C24" s="17" t="s">
        <v>92</v>
      </c>
      <c r="D24" s="17" t="s">
        <v>76</v>
      </c>
      <c r="E24" s="18">
        <v>1</v>
      </c>
      <c r="F24" s="19">
        <v>3000</v>
      </c>
      <c r="G24" s="20">
        <f t="shared" si="0"/>
        <v>3000</v>
      </c>
      <c r="H24" s="19">
        <v>30000</v>
      </c>
      <c r="I24" s="20">
        <f t="shared" si="1"/>
        <v>30000</v>
      </c>
      <c r="J24" s="19">
        <v>60000</v>
      </c>
      <c r="K24" s="20">
        <f t="shared" si="2"/>
        <v>60000</v>
      </c>
      <c r="L24" s="17" t="s">
        <v>93</v>
      </c>
      <c r="M24" s="18" t="s">
        <v>57</v>
      </c>
      <c r="N24" s="20">
        <f t="shared" si="3"/>
        <v>30000</v>
      </c>
    </row>
    <row r="25" spans="1:14" ht="32" x14ac:dyDescent="0.2">
      <c r="A25" s="17">
        <v>18</v>
      </c>
      <c r="B25" s="17" t="s">
        <v>81</v>
      </c>
      <c r="C25" s="17" t="s">
        <v>94</v>
      </c>
      <c r="D25" s="17" t="s">
        <v>66</v>
      </c>
      <c r="E25" s="18">
        <v>1</v>
      </c>
      <c r="F25" s="19">
        <v>2500</v>
      </c>
      <c r="G25" s="20">
        <f t="shared" si="0"/>
        <v>2500</v>
      </c>
      <c r="H25" s="19">
        <v>7000</v>
      </c>
      <c r="I25" s="20">
        <f t="shared" si="1"/>
        <v>7000</v>
      </c>
      <c r="J25" s="19">
        <v>15000</v>
      </c>
      <c r="K25" s="20">
        <f t="shared" si="2"/>
        <v>15000</v>
      </c>
      <c r="L25" s="17"/>
      <c r="M25" s="18" t="s">
        <v>57</v>
      </c>
      <c r="N25" s="20">
        <f t="shared" si="3"/>
        <v>7000</v>
      </c>
    </row>
    <row r="26" spans="1:14" ht="16" x14ac:dyDescent="0.2">
      <c r="A26" s="17">
        <v>19</v>
      </c>
      <c r="B26" s="17" t="s">
        <v>81</v>
      </c>
      <c r="C26" s="17" t="s">
        <v>95</v>
      </c>
      <c r="D26" s="17" t="s">
        <v>76</v>
      </c>
      <c r="E26" s="18">
        <v>1</v>
      </c>
      <c r="F26" s="19">
        <v>4000</v>
      </c>
      <c r="G26" s="20">
        <f t="shared" si="0"/>
        <v>4000</v>
      </c>
      <c r="H26" s="19">
        <v>12000</v>
      </c>
      <c r="I26" s="20">
        <f t="shared" si="1"/>
        <v>12000</v>
      </c>
      <c r="J26" s="19">
        <v>25000</v>
      </c>
      <c r="K26" s="20">
        <f t="shared" si="2"/>
        <v>25000</v>
      </c>
      <c r="L26" s="17" t="s">
        <v>96</v>
      </c>
      <c r="M26" s="18" t="s">
        <v>57</v>
      </c>
      <c r="N26" s="20">
        <f t="shared" si="3"/>
        <v>12000</v>
      </c>
    </row>
    <row r="27" spans="1:14" ht="16" x14ac:dyDescent="0.2">
      <c r="A27" s="17">
        <v>20</v>
      </c>
      <c r="B27" s="17" t="s">
        <v>81</v>
      </c>
      <c r="C27" s="17" t="s">
        <v>97</v>
      </c>
      <c r="D27" s="17" t="s">
        <v>76</v>
      </c>
      <c r="E27" s="32">
        <f>Параметры!$B$14</f>
        <v>2</v>
      </c>
      <c r="F27" s="19">
        <v>1500</v>
      </c>
      <c r="G27" s="20">
        <f t="shared" si="0"/>
        <v>3000</v>
      </c>
      <c r="H27" s="19">
        <v>6000</v>
      </c>
      <c r="I27" s="20">
        <f t="shared" si="1"/>
        <v>12000</v>
      </c>
      <c r="J27" s="19">
        <v>15000</v>
      </c>
      <c r="K27" s="20">
        <f t="shared" si="2"/>
        <v>30000</v>
      </c>
      <c r="L27" s="17"/>
      <c r="M27" s="18" t="s">
        <v>57</v>
      </c>
      <c r="N27" s="20">
        <f t="shared" si="3"/>
        <v>12000</v>
      </c>
    </row>
    <row r="28" spans="1:14" ht="16" x14ac:dyDescent="0.2">
      <c r="A28" s="17">
        <v>21</v>
      </c>
      <c r="B28" s="17" t="s">
        <v>81</v>
      </c>
      <c r="C28" s="17" t="s">
        <v>98</v>
      </c>
      <c r="D28" s="17" t="s">
        <v>76</v>
      </c>
      <c r="E28" s="32">
        <f>Параметры!$B$13</f>
        <v>2</v>
      </c>
      <c r="F28" s="19">
        <v>800</v>
      </c>
      <c r="G28" s="20">
        <f t="shared" si="0"/>
        <v>1600</v>
      </c>
      <c r="H28" s="19">
        <v>3000</v>
      </c>
      <c r="I28" s="20">
        <f t="shared" si="1"/>
        <v>6000</v>
      </c>
      <c r="J28" s="19">
        <v>7000</v>
      </c>
      <c r="K28" s="20">
        <f t="shared" si="2"/>
        <v>14000</v>
      </c>
      <c r="L28" s="17" t="s">
        <v>99</v>
      </c>
      <c r="M28" s="18" t="s">
        <v>57</v>
      </c>
      <c r="N28" s="20">
        <f t="shared" si="3"/>
        <v>6000</v>
      </c>
    </row>
    <row r="29" spans="1:14" ht="32" x14ac:dyDescent="0.2">
      <c r="A29" s="17">
        <v>22</v>
      </c>
      <c r="B29" s="17" t="s">
        <v>81</v>
      </c>
      <c r="C29" s="17" t="s">
        <v>100</v>
      </c>
      <c r="D29" s="17" t="s">
        <v>66</v>
      </c>
      <c r="E29" s="18">
        <v>1</v>
      </c>
      <c r="F29" s="19">
        <v>2500</v>
      </c>
      <c r="G29" s="20">
        <f t="shared" si="0"/>
        <v>2500</v>
      </c>
      <c r="H29" s="19">
        <v>7000</v>
      </c>
      <c r="I29" s="20">
        <f t="shared" si="1"/>
        <v>7000</v>
      </c>
      <c r="J29" s="19">
        <v>20000</v>
      </c>
      <c r="K29" s="20">
        <f t="shared" si="2"/>
        <v>20000</v>
      </c>
      <c r="L29" s="17"/>
      <c r="M29" s="18" t="s">
        <v>57</v>
      </c>
      <c r="N29" s="20">
        <f t="shared" si="3"/>
        <v>7000</v>
      </c>
    </row>
    <row r="30" spans="1:14" ht="16" x14ac:dyDescent="0.2">
      <c r="A30" s="17">
        <v>23</v>
      </c>
      <c r="B30" s="17" t="s">
        <v>81</v>
      </c>
      <c r="C30" s="17" t="s">
        <v>101</v>
      </c>
      <c r="D30" s="17" t="s">
        <v>76</v>
      </c>
      <c r="E30" s="18">
        <v>1</v>
      </c>
      <c r="F30" s="19">
        <v>2000</v>
      </c>
      <c r="G30" s="20">
        <f t="shared" si="0"/>
        <v>2000</v>
      </c>
      <c r="H30" s="19">
        <v>5000</v>
      </c>
      <c r="I30" s="20">
        <f t="shared" si="1"/>
        <v>5000</v>
      </c>
      <c r="J30" s="19">
        <v>12000</v>
      </c>
      <c r="K30" s="20">
        <f t="shared" si="2"/>
        <v>12000</v>
      </c>
      <c r="L30" s="17" t="s">
        <v>102</v>
      </c>
      <c r="M30" s="18" t="s">
        <v>57</v>
      </c>
      <c r="N30" s="20">
        <f t="shared" si="3"/>
        <v>5000</v>
      </c>
    </row>
    <row r="31" spans="1:14" ht="32" x14ac:dyDescent="0.2">
      <c r="A31" s="17">
        <v>24</v>
      </c>
      <c r="B31" s="17" t="s">
        <v>81</v>
      </c>
      <c r="C31" s="17" t="s">
        <v>103</v>
      </c>
      <c r="D31" s="17" t="s">
        <v>66</v>
      </c>
      <c r="E31" s="18">
        <v>1</v>
      </c>
      <c r="F31" s="19">
        <v>3000</v>
      </c>
      <c r="G31" s="20">
        <f t="shared" si="0"/>
        <v>3000</v>
      </c>
      <c r="H31" s="19">
        <v>6000</v>
      </c>
      <c r="I31" s="20">
        <f t="shared" si="1"/>
        <v>6000</v>
      </c>
      <c r="J31" s="19">
        <v>10000</v>
      </c>
      <c r="K31" s="20">
        <f t="shared" si="2"/>
        <v>10000</v>
      </c>
      <c r="L31" s="17"/>
      <c r="M31" s="18" t="s">
        <v>57</v>
      </c>
      <c r="N31" s="20">
        <f t="shared" si="3"/>
        <v>6000</v>
      </c>
    </row>
    <row r="32" spans="1:14" x14ac:dyDescent="0.2">
      <c r="A32" s="15" t="s">
        <v>104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32" x14ac:dyDescent="0.2">
      <c r="A33" s="17">
        <v>25</v>
      </c>
      <c r="B33" s="17" t="s">
        <v>105</v>
      </c>
      <c r="C33" s="17" t="s">
        <v>106</v>
      </c>
      <c r="D33" s="17" t="s">
        <v>76</v>
      </c>
      <c r="E33" s="32">
        <f>Параметры!$B$9</f>
        <v>30</v>
      </c>
      <c r="F33" s="19">
        <v>200</v>
      </c>
      <c r="G33" s="20">
        <f t="shared" ref="G33:G39" si="4">E33*F33</f>
        <v>6000</v>
      </c>
      <c r="H33" s="19">
        <v>900</v>
      </c>
      <c r="I33" s="20">
        <f t="shared" ref="I33:I39" si="5">E33*H33</f>
        <v>27000</v>
      </c>
      <c r="J33" s="19">
        <v>2200</v>
      </c>
      <c r="K33" s="20">
        <f t="shared" ref="K33:K39" si="6">E33*J33</f>
        <v>66000</v>
      </c>
      <c r="L33" s="17" t="s">
        <v>107</v>
      </c>
      <c r="M33" s="18" t="s">
        <v>57</v>
      </c>
      <c r="N33" s="20">
        <f t="shared" ref="N33:N39" si="7">IF(M33="МИН",G33,IF(M33="МАКС",K33,I33))</f>
        <v>27000</v>
      </c>
    </row>
    <row r="34" spans="1:14" ht="16" x14ac:dyDescent="0.2">
      <c r="A34" s="17">
        <v>26</v>
      </c>
      <c r="B34" s="17" t="s">
        <v>105</v>
      </c>
      <c r="C34" s="17" t="s">
        <v>108</v>
      </c>
      <c r="D34" s="17" t="s">
        <v>76</v>
      </c>
      <c r="E34" s="32">
        <f>Параметры!$B$10</f>
        <v>8</v>
      </c>
      <c r="F34" s="19">
        <v>200</v>
      </c>
      <c r="G34" s="20">
        <f t="shared" si="4"/>
        <v>1600</v>
      </c>
      <c r="H34" s="19">
        <v>900</v>
      </c>
      <c r="I34" s="20">
        <f t="shared" si="5"/>
        <v>7200</v>
      </c>
      <c r="J34" s="19">
        <v>2500</v>
      </c>
      <c r="K34" s="20">
        <f t="shared" si="6"/>
        <v>20000</v>
      </c>
      <c r="L34" s="17"/>
      <c r="M34" s="18" t="s">
        <v>57</v>
      </c>
      <c r="N34" s="20">
        <f t="shared" si="7"/>
        <v>7200</v>
      </c>
    </row>
    <row r="35" spans="1:14" ht="16" x14ac:dyDescent="0.2">
      <c r="A35" s="17">
        <v>27</v>
      </c>
      <c r="B35" s="17" t="s">
        <v>105</v>
      </c>
      <c r="C35" s="17" t="s">
        <v>109</v>
      </c>
      <c r="D35" s="17" t="s">
        <v>76</v>
      </c>
      <c r="E35" s="32">
        <f>Параметры!$B$11</f>
        <v>25</v>
      </c>
      <c r="F35" s="19">
        <v>60</v>
      </c>
      <c r="G35" s="20">
        <f t="shared" si="4"/>
        <v>1500</v>
      </c>
      <c r="H35" s="19">
        <v>250</v>
      </c>
      <c r="I35" s="20">
        <f t="shared" si="5"/>
        <v>6250</v>
      </c>
      <c r="J35" s="19">
        <v>800</v>
      </c>
      <c r="K35" s="20">
        <f t="shared" si="6"/>
        <v>20000</v>
      </c>
      <c r="L35" s="17"/>
      <c r="M35" s="18" t="s">
        <v>57</v>
      </c>
      <c r="N35" s="20">
        <f t="shared" si="7"/>
        <v>6250</v>
      </c>
    </row>
    <row r="36" spans="1:14" ht="16" x14ac:dyDescent="0.2">
      <c r="A36" s="17">
        <v>28</v>
      </c>
      <c r="B36" s="17" t="s">
        <v>105</v>
      </c>
      <c r="C36" s="17" t="s">
        <v>110</v>
      </c>
      <c r="D36" s="17" t="s">
        <v>76</v>
      </c>
      <c r="E36" s="32">
        <f>Параметры!$B$9+Параметры!$B$10</f>
        <v>38</v>
      </c>
      <c r="F36" s="19">
        <v>60</v>
      </c>
      <c r="G36" s="20">
        <f t="shared" si="4"/>
        <v>2280</v>
      </c>
      <c r="H36" s="19">
        <v>60</v>
      </c>
      <c r="I36" s="20">
        <f t="shared" si="5"/>
        <v>2280</v>
      </c>
      <c r="J36" s="19">
        <v>60</v>
      </c>
      <c r="K36" s="20">
        <f t="shared" si="6"/>
        <v>2280</v>
      </c>
      <c r="L36" s="17" t="s">
        <v>111</v>
      </c>
      <c r="M36" s="18" t="s">
        <v>57</v>
      </c>
      <c r="N36" s="20">
        <f t="shared" si="7"/>
        <v>2280</v>
      </c>
    </row>
    <row r="37" spans="1:14" ht="32" x14ac:dyDescent="0.2">
      <c r="A37" s="17">
        <v>29</v>
      </c>
      <c r="B37" s="17" t="s">
        <v>105</v>
      </c>
      <c r="C37" s="17" t="s">
        <v>112</v>
      </c>
      <c r="D37" s="17" t="s">
        <v>66</v>
      </c>
      <c r="E37" s="18">
        <v>1</v>
      </c>
      <c r="F37" s="19">
        <v>8000</v>
      </c>
      <c r="G37" s="20">
        <f t="shared" si="4"/>
        <v>8000</v>
      </c>
      <c r="H37" s="19">
        <v>25000</v>
      </c>
      <c r="I37" s="20">
        <f t="shared" si="5"/>
        <v>25000</v>
      </c>
      <c r="J37" s="19">
        <v>60000</v>
      </c>
      <c r="K37" s="20">
        <f t="shared" si="6"/>
        <v>60000</v>
      </c>
      <c r="L37" s="17" t="s">
        <v>113</v>
      </c>
      <c r="M37" s="18" t="s">
        <v>57</v>
      </c>
      <c r="N37" s="20">
        <f t="shared" si="7"/>
        <v>25000</v>
      </c>
    </row>
    <row r="38" spans="1:14" ht="32" x14ac:dyDescent="0.2">
      <c r="A38" s="17">
        <v>30</v>
      </c>
      <c r="B38" s="17" t="s">
        <v>105</v>
      </c>
      <c r="C38" s="17" t="s">
        <v>114</v>
      </c>
      <c r="D38" s="17" t="s">
        <v>66</v>
      </c>
      <c r="E38" s="18">
        <v>1</v>
      </c>
      <c r="F38" s="19">
        <v>3000</v>
      </c>
      <c r="G38" s="20">
        <f t="shared" si="4"/>
        <v>3000</v>
      </c>
      <c r="H38" s="19">
        <v>6000</v>
      </c>
      <c r="I38" s="20">
        <f t="shared" si="5"/>
        <v>6000</v>
      </c>
      <c r="J38" s="19">
        <v>10000</v>
      </c>
      <c r="K38" s="20">
        <f t="shared" si="6"/>
        <v>10000</v>
      </c>
      <c r="L38" s="17"/>
      <c r="M38" s="18" t="s">
        <v>57</v>
      </c>
      <c r="N38" s="20">
        <f t="shared" si="7"/>
        <v>6000</v>
      </c>
    </row>
    <row r="39" spans="1:14" ht="32" x14ac:dyDescent="0.2">
      <c r="A39" s="17">
        <v>31</v>
      </c>
      <c r="B39" s="17" t="s">
        <v>105</v>
      </c>
      <c r="C39" s="17" t="s">
        <v>115</v>
      </c>
      <c r="D39" s="17" t="s">
        <v>66</v>
      </c>
      <c r="E39" s="18">
        <v>1</v>
      </c>
      <c r="F39" s="19">
        <v>3500</v>
      </c>
      <c r="G39" s="20">
        <f t="shared" si="4"/>
        <v>3500</v>
      </c>
      <c r="H39" s="19">
        <v>4500</v>
      </c>
      <c r="I39" s="20">
        <f t="shared" si="5"/>
        <v>4500</v>
      </c>
      <c r="J39" s="19">
        <v>6000</v>
      </c>
      <c r="K39" s="20">
        <f t="shared" si="6"/>
        <v>6000</v>
      </c>
      <c r="L39" s="17" t="s">
        <v>116</v>
      </c>
      <c r="M39" s="18" t="s">
        <v>57</v>
      </c>
      <c r="N39" s="20">
        <f t="shared" si="7"/>
        <v>4500</v>
      </c>
    </row>
    <row r="40" spans="1:14" x14ac:dyDescent="0.2">
      <c r="A40" s="15" t="s">
        <v>117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64" x14ac:dyDescent="0.2">
      <c r="A41" s="17">
        <v>32</v>
      </c>
      <c r="B41" s="17" t="s">
        <v>118</v>
      </c>
      <c r="C41" s="17" t="s">
        <v>119</v>
      </c>
      <c r="D41" s="17" t="s">
        <v>55</v>
      </c>
      <c r="E41" s="32">
        <f>Параметры!$B$15</f>
        <v>120</v>
      </c>
      <c r="F41" s="19">
        <v>200</v>
      </c>
      <c r="G41" s="20">
        <f>E41*F41</f>
        <v>24000</v>
      </c>
      <c r="H41" s="19">
        <v>450</v>
      </c>
      <c r="I41" s="20">
        <f>E41*H41</f>
        <v>54000</v>
      </c>
      <c r="J41" s="19">
        <v>1200</v>
      </c>
      <c r="K41" s="20">
        <f>E41*J41</f>
        <v>144000</v>
      </c>
      <c r="L41" s="17" t="s">
        <v>120</v>
      </c>
      <c r="M41" s="18" t="s">
        <v>57</v>
      </c>
      <c r="N41" s="20">
        <f>IF(M41="МИН",G41,IF(M41="МАКС",K41,I41))</f>
        <v>54000</v>
      </c>
    </row>
    <row r="42" spans="1:14" ht="32" x14ac:dyDescent="0.2">
      <c r="A42" s="17">
        <v>33</v>
      </c>
      <c r="B42" s="17" t="s">
        <v>118</v>
      </c>
      <c r="C42" s="17" t="s">
        <v>121</v>
      </c>
      <c r="D42" s="17" t="s">
        <v>66</v>
      </c>
      <c r="E42" s="18">
        <v>1</v>
      </c>
      <c r="F42" s="19">
        <v>4000</v>
      </c>
      <c r="G42" s="20">
        <f>E42*F42</f>
        <v>4000</v>
      </c>
      <c r="H42" s="19">
        <v>7000</v>
      </c>
      <c r="I42" s="20">
        <f>E42*H42</f>
        <v>7000</v>
      </c>
      <c r="J42" s="19">
        <v>12000</v>
      </c>
      <c r="K42" s="20">
        <f>E42*J42</f>
        <v>12000</v>
      </c>
      <c r="L42" s="17"/>
      <c r="M42" s="18" t="s">
        <v>57</v>
      </c>
      <c r="N42" s="20">
        <f>IF(M42="МИН",G42,IF(M42="МАКС",K42,I42))</f>
        <v>7000</v>
      </c>
    </row>
    <row r="43" spans="1:14" ht="32" x14ac:dyDescent="0.2">
      <c r="A43" s="17">
        <v>34</v>
      </c>
      <c r="B43" s="17" t="s">
        <v>118</v>
      </c>
      <c r="C43" s="17" t="s">
        <v>122</v>
      </c>
      <c r="D43" s="17" t="s">
        <v>66</v>
      </c>
      <c r="E43" s="18">
        <v>1</v>
      </c>
      <c r="F43" s="19">
        <v>0</v>
      </c>
      <c r="G43" s="20">
        <f>E43*F43</f>
        <v>0</v>
      </c>
      <c r="H43" s="19">
        <v>15000</v>
      </c>
      <c r="I43" s="20">
        <f>E43*H43</f>
        <v>15000</v>
      </c>
      <c r="J43" s="19">
        <v>60000</v>
      </c>
      <c r="K43" s="20">
        <f>E43*J43</f>
        <v>60000</v>
      </c>
      <c r="L43" s="17" t="s">
        <v>123</v>
      </c>
      <c r="M43" s="18" t="s">
        <v>57</v>
      </c>
      <c r="N43" s="20">
        <f>IF(M43="МИН",G43,IF(M43="МАКС",K43,I43))</f>
        <v>15000</v>
      </c>
    </row>
    <row r="44" spans="1:14" x14ac:dyDescent="0.2">
      <c r="A44" s="15" t="s">
        <v>124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48" x14ac:dyDescent="0.2">
      <c r="A45" s="17">
        <v>35</v>
      </c>
      <c r="B45" s="17" t="s">
        <v>125</v>
      </c>
      <c r="C45" s="17" t="s">
        <v>126</v>
      </c>
      <c r="D45" s="17" t="s">
        <v>76</v>
      </c>
      <c r="E45" s="32">
        <f>Параметры!$B$16</f>
        <v>3</v>
      </c>
      <c r="F45" s="19">
        <v>8000</v>
      </c>
      <c r="G45" s="20">
        <f>E45*F45</f>
        <v>24000</v>
      </c>
      <c r="H45" s="19">
        <v>18000</v>
      </c>
      <c r="I45" s="20">
        <f>E45*H45</f>
        <v>54000</v>
      </c>
      <c r="J45" s="19">
        <v>45000</v>
      </c>
      <c r="K45" s="20">
        <f>E45*J45</f>
        <v>135000</v>
      </c>
      <c r="L45" s="17" t="s">
        <v>127</v>
      </c>
      <c r="M45" s="18" t="s">
        <v>57</v>
      </c>
      <c r="N45" s="20">
        <f>IF(M45="МИН",G45,IF(M45="МАКС",K45,I45))</f>
        <v>54000</v>
      </c>
    </row>
    <row r="46" spans="1:14" ht="48" x14ac:dyDescent="0.2">
      <c r="A46" s="17">
        <v>36</v>
      </c>
      <c r="B46" s="17" t="s">
        <v>125</v>
      </c>
      <c r="C46" s="17" t="s">
        <v>128</v>
      </c>
      <c r="D46" s="17" t="s">
        <v>76</v>
      </c>
      <c r="E46" s="32">
        <f>Параметры!$B$17</f>
        <v>1</v>
      </c>
      <c r="F46" s="19">
        <v>16000</v>
      </c>
      <c r="G46" s="20">
        <f>E46*F46</f>
        <v>16000</v>
      </c>
      <c r="H46" s="19">
        <v>35000</v>
      </c>
      <c r="I46" s="20">
        <f>E46*H46</f>
        <v>35000</v>
      </c>
      <c r="J46" s="19">
        <v>90000</v>
      </c>
      <c r="K46" s="20">
        <f>E46*J46</f>
        <v>90000</v>
      </c>
      <c r="L46" s="17" t="s">
        <v>129</v>
      </c>
      <c r="M46" s="18" t="s">
        <v>57</v>
      </c>
      <c r="N46" s="20">
        <f>IF(M46="МИН",G46,IF(M46="МАКС",K46,I46))</f>
        <v>35000</v>
      </c>
    </row>
    <row r="47" spans="1:14" ht="32" x14ac:dyDescent="0.2">
      <c r="A47" s="17">
        <v>37</v>
      </c>
      <c r="B47" s="17" t="s">
        <v>125</v>
      </c>
      <c r="C47" s="17" t="s">
        <v>130</v>
      </c>
      <c r="D47" s="17" t="s">
        <v>66</v>
      </c>
      <c r="E47" s="18">
        <v>1</v>
      </c>
      <c r="F47" s="19">
        <v>3000</v>
      </c>
      <c r="G47" s="20">
        <f>E47*F47</f>
        <v>3000</v>
      </c>
      <c r="H47" s="19">
        <v>6000</v>
      </c>
      <c r="I47" s="20">
        <f>E47*H47</f>
        <v>6000</v>
      </c>
      <c r="J47" s="19">
        <v>12000</v>
      </c>
      <c r="K47" s="20">
        <f>E47*J47</f>
        <v>12000</v>
      </c>
      <c r="L47" s="17" t="s">
        <v>131</v>
      </c>
      <c r="M47" s="18" t="s">
        <v>57</v>
      </c>
      <c r="N47" s="20">
        <f>IF(M47="МИН",G47,IF(M47="МАКС",K47,I47))</f>
        <v>6000</v>
      </c>
    </row>
    <row r="48" spans="1:14" x14ac:dyDescent="0.2">
      <c r="A48" s="15" t="s">
        <v>132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32" x14ac:dyDescent="0.2">
      <c r="A49" s="17">
        <v>38</v>
      </c>
      <c r="B49" s="17" t="s">
        <v>133</v>
      </c>
      <c r="C49" s="17" t="s">
        <v>134</v>
      </c>
      <c r="D49" s="17" t="s">
        <v>66</v>
      </c>
      <c r="E49" s="18">
        <v>1</v>
      </c>
      <c r="F49" s="19">
        <v>5000</v>
      </c>
      <c r="G49" s="20">
        <f t="shared" ref="G49:G71" si="8">E49*F49</f>
        <v>5000</v>
      </c>
      <c r="H49" s="19">
        <v>12000</v>
      </c>
      <c r="I49" s="20">
        <f t="shared" ref="I49:I71" si="9">E49*H49</f>
        <v>12000</v>
      </c>
      <c r="J49" s="19">
        <v>25000</v>
      </c>
      <c r="K49" s="20">
        <f t="shared" ref="K49:K71" si="10">E49*J49</f>
        <v>25000</v>
      </c>
      <c r="L49" s="17" t="s">
        <v>135</v>
      </c>
      <c r="M49" s="18" t="s">
        <v>57</v>
      </c>
      <c r="N49" s="20">
        <f t="shared" ref="N49:N71" si="11">IF(M49="МИН",G49,IF(M49="МАКС",K49,I49))</f>
        <v>12000</v>
      </c>
    </row>
    <row r="50" spans="1:14" ht="16" x14ac:dyDescent="0.2">
      <c r="A50" s="17">
        <v>39</v>
      </c>
      <c r="B50" s="17" t="s">
        <v>133</v>
      </c>
      <c r="C50" s="17" t="s">
        <v>136</v>
      </c>
      <c r="D50" s="17" t="s">
        <v>55</v>
      </c>
      <c r="E50" s="32">
        <f>Параметры!$B$5</f>
        <v>42</v>
      </c>
      <c r="F50" s="19">
        <v>300</v>
      </c>
      <c r="G50" s="20">
        <f t="shared" si="8"/>
        <v>12600</v>
      </c>
      <c r="H50" s="19">
        <v>450</v>
      </c>
      <c r="I50" s="20">
        <f t="shared" si="9"/>
        <v>18900</v>
      </c>
      <c r="J50" s="19">
        <v>700</v>
      </c>
      <c r="K50" s="20">
        <f t="shared" si="10"/>
        <v>29400</v>
      </c>
      <c r="L50" s="17" t="s">
        <v>137</v>
      </c>
      <c r="M50" s="18" t="s">
        <v>57</v>
      </c>
      <c r="N50" s="20">
        <f t="shared" si="11"/>
        <v>18900</v>
      </c>
    </row>
    <row r="51" spans="1:14" ht="16" x14ac:dyDescent="0.2">
      <c r="A51" s="17">
        <v>40</v>
      </c>
      <c r="B51" s="17" t="s">
        <v>133</v>
      </c>
      <c r="C51" s="17" t="s">
        <v>138</v>
      </c>
      <c r="D51" s="17" t="s">
        <v>63</v>
      </c>
      <c r="E51" s="32">
        <f>Параметры!$B$8</f>
        <v>50</v>
      </c>
      <c r="F51" s="19">
        <v>150</v>
      </c>
      <c r="G51" s="20">
        <f t="shared" si="8"/>
        <v>7500</v>
      </c>
      <c r="H51" s="19">
        <v>250</v>
      </c>
      <c r="I51" s="20">
        <f t="shared" si="9"/>
        <v>12500</v>
      </c>
      <c r="J51" s="19">
        <v>400</v>
      </c>
      <c r="K51" s="20">
        <f t="shared" si="10"/>
        <v>20000</v>
      </c>
      <c r="L51" s="17"/>
      <c r="M51" s="18" t="s">
        <v>57</v>
      </c>
      <c r="N51" s="20">
        <f t="shared" si="11"/>
        <v>12500</v>
      </c>
    </row>
    <row r="52" spans="1:14" ht="32" x14ac:dyDescent="0.2">
      <c r="A52" s="17">
        <v>41</v>
      </c>
      <c r="B52" s="17" t="s">
        <v>133</v>
      </c>
      <c r="C52" s="17" t="s">
        <v>139</v>
      </c>
      <c r="D52" s="17" t="s">
        <v>66</v>
      </c>
      <c r="E52" s="18">
        <v>1</v>
      </c>
      <c r="F52" s="19">
        <v>6000</v>
      </c>
      <c r="G52" s="20">
        <f t="shared" si="8"/>
        <v>6000</v>
      </c>
      <c r="H52" s="19">
        <v>12000</v>
      </c>
      <c r="I52" s="20">
        <f t="shared" si="9"/>
        <v>12000</v>
      </c>
      <c r="J52" s="19">
        <v>25000</v>
      </c>
      <c r="K52" s="20">
        <f t="shared" si="10"/>
        <v>25000</v>
      </c>
      <c r="L52" s="17" t="s">
        <v>140</v>
      </c>
      <c r="M52" s="18" t="s">
        <v>57</v>
      </c>
      <c r="N52" s="20">
        <f t="shared" si="11"/>
        <v>12000</v>
      </c>
    </row>
    <row r="53" spans="1:14" ht="32" x14ac:dyDescent="0.2">
      <c r="A53" s="17">
        <v>42</v>
      </c>
      <c r="B53" s="17" t="s">
        <v>133</v>
      </c>
      <c r="C53" s="17" t="s">
        <v>141</v>
      </c>
      <c r="D53" s="17" t="s">
        <v>66</v>
      </c>
      <c r="E53" s="18">
        <v>1</v>
      </c>
      <c r="F53" s="19">
        <v>0</v>
      </c>
      <c r="G53" s="20">
        <f t="shared" si="8"/>
        <v>0</v>
      </c>
      <c r="H53" s="19">
        <v>8000</v>
      </c>
      <c r="I53" s="20">
        <f t="shared" si="9"/>
        <v>8000</v>
      </c>
      <c r="J53" s="19">
        <v>15000</v>
      </c>
      <c r="K53" s="20">
        <f t="shared" si="10"/>
        <v>15000</v>
      </c>
      <c r="L53" s="17"/>
      <c r="M53" s="18" t="s">
        <v>57</v>
      </c>
      <c r="N53" s="20">
        <f t="shared" si="11"/>
        <v>8000</v>
      </c>
    </row>
    <row r="54" spans="1:14" ht="32" x14ac:dyDescent="0.2">
      <c r="A54" s="17">
        <v>43</v>
      </c>
      <c r="B54" s="17" t="s">
        <v>133</v>
      </c>
      <c r="C54" s="17" t="s">
        <v>142</v>
      </c>
      <c r="D54" s="17" t="s">
        <v>66</v>
      </c>
      <c r="E54" s="18">
        <v>1</v>
      </c>
      <c r="F54" s="19">
        <v>0</v>
      </c>
      <c r="G54" s="20">
        <f t="shared" si="8"/>
        <v>0</v>
      </c>
      <c r="H54" s="19">
        <v>0</v>
      </c>
      <c r="I54" s="20">
        <f t="shared" si="9"/>
        <v>0</v>
      </c>
      <c r="J54" s="19">
        <v>0</v>
      </c>
      <c r="K54" s="20">
        <f t="shared" si="10"/>
        <v>0</v>
      </c>
      <c r="L54" s="17" t="s">
        <v>143</v>
      </c>
      <c r="M54" s="18" t="s">
        <v>57</v>
      </c>
      <c r="N54" s="20">
        <f t="shared" si="11"/>
        <v>0</v>
      </c>
    </row>
    <row r="55" spans="1:14" ht="16" x14ac:dyDescent="0.2">
      <c r="A55" s="17">
        <v>44</v>
      </c>
      <c r="B55" s="17" t="s">
        <v>133</v>
      </c>
      <c r="C55" s="17" t="s">
        <v>144</v>
      </c>
      <c r="D55" s="17" t="s">
        <v>76</v>
      </c>
      <c r="E55" s="18">
        <v>1</v>
      </c>
      <c r="F55" s="19">
        <v>2500</v>
      </c>
      <c r="G55" s="20">
        <f t="shared" si="8"/>
        <v>2500</v>
      </c>
      <c r="H55" s="19">
        <v>4000</v>
      </c>
      <c r="I55" s="20">
        <f t="shared" si="9"/>
        <v>4000</v>
      </c>
      <c r="J55" s="19">
        <v>9000</v>
      </c>
      <c r="K55" s="20">
        <f t="shared" si="10"/>
        <v>9000</v>
      </c>
      <c r="L55" s="17" t="s">
        <v>145</v>
      </c>
      <c r="M55" s="18" t="s">
        <v>57</v>
      </c>
      <c r="N55" s="20">
        <f t="shared" si="11"/>
        <v>4000</v>
      </c>
    </row>
    <row r="56" spans="1:14" ht="16" x14ac:dyDescent="0.2">
      <c r="A56" s="17">
        <v>45</v>
      </c>
      <c r="B56" s="17" t="s">
        <v>133</v>
      </c>
      <c r="C56" s="17" t="s">
        <v>146</v>
      </c>
      <c r="D56" s="17" t="s">
        <v>76</v>
      </c>
      <c r="E56" s="32">
        <f>Параметры!$B$14</f>
        <v>2</v>
      </c>
      <c r="F56" s="19">
        <v>2500</v>
      </c>
      <c r="G56" s="20">
        <f t="shared" si="8"/>
        <v>5000</v>
      </c>
      <c r="H56" s="19">
        <v>4000</v>
      </c>
      <c r="I56" s="20">
        <f t="shared" si="9"/>
        <v>8000</v>
      </c>
      <c r="J56" s="19">
        <v>6000</v>
      </c>
      <c r="K56" s="20">
        <f t="shared" si="10"/>
        <v>12000</v>
      </c>
      <c r="L56" s="17"/>
      <c r="M56" s="18" t="s">
        <v>57</v>
      </c>
      <c r="N56" s="20">
        <f t="shared" si="11"/>
        <v>8000</v>
      </c>
    </row>
    <row r="57" spans="1:14" ht="32" x14ac:dyDescent="0.2">
      <c r="A57" s="17">
        <v>46</v>
      </c>
      <c r="B57" s="17" t="s">
        <v>133</v>
      </c>
      <c r="C57" s="17" t="s">
        <v>147</v>
      </c>
      <c r="D57" s="17" t="s">
        <v>66</v>
      </c>
      <c r="E57" s="18">
        <v>1</v>
      </c>
      <c r="F57" s="19">
        <v>2000</v>
      </c>
      <c r="G57" s="20">
        <f t="shared" si="8"/>
        <v>2000</v>
      </c>
      <c r="H57" s="19">
        <v>3500</v>
      </c>
      <c r="I57" s="20">
        <f t="shared" si="9"/>
        <v>3500</v>
      </c>
      <c r="J57" s="19">
        <v>8000</v>
      </c>
      <c r="K57" s="20">
        <f t="shared" si="10"/>
        <v>8000</v>
      </c>
      <c r="L57" s="17"/>
      <c r="M57" s="18" t="s">
        <v>57</v>
      </c>
      <c r="N57" s="20">
        <f t="shared" si="11"/>
        <v>3500</v>
      </c>
    </row>
    <row r="58" spans="1:14" ht="16" x14ac:dyDescent="0.2">
      <c r="A58" s="17">
        <v>47</v>
      </c>
      <c r="B58" s="17" t="s">
        <v>133</v>
      </c>
      <c r="C58" s="17" t="s">
        <v>148</v>
      </c>
      <c r="D58" s="17" t="s">
        <v>76</v>
      </c>
      <c r="E58" s="18">
        <v>1</v>
      </c>
      <c r="F58" s="19">
        <v>1500</v>
      </c>
      <c r="G58" s="20">
        <f t="shared" si="8"/>
        <v>1500</v>
      </c>
      <c r="H58" s="19">
        <v>3000</v>
      </c>
      <c r="I58" s="20">
        <f t="shared" si="9"/>
        <v>3000</v>
      </c>
      <c r="J58" s="19">
        <v>4000</v>
      </c>
      <c r="K58" s="20">
        <f t="shared" si="10"/>
        <v>4000</v>
      </c>
      <c r="L58" s="17"/>
      <c r="M58" s="18" t="s">
        <v>57</v>
      </c>
      <c r="N58" s="20">
        <f t="shared" si="11"/>
        <v>3000</v>
      </c>
    </row>
    <row r="59" spans="1:14" ht="16" x14ac:dyDescent="0.2">
      <c r="A59" s="17">
        <v>48</v>
      </c>
      <c r="B59" s="17" t="s">
        <v>133</v>
      </c>
      <c r="C59" s="17" t="s">
        <v>149</v>
      </c>
      <c r="D59" s="17" t="s">
        <v>76</v>
      </c>
      <c r="E59" s="18">
        <v>1</v>
      </c>
      <c r="F59" s="19">
        <v>1500</v>
      </c>
      <c r="G59" s="20">
        <f t="shared" si="8"/>
        <v>1500</v>
      </c>
      <c r="H59" s="19">
        <v>2500</v>
      </c>
      <c r="I59" s="20">
        <f t="shared" si="9"/>
        <v>2500</v>
      </c>
      <c r="J59" s="19">
        <v>4000</v>
      </c>
      <c r="K59" s="20">
        <f t="shared" si="10"/>
        <v>4000</v>
      </c>
      <c r="L59" s="17"/>
      <c r="M59" s="18" t="s">
        <v>57</v>
      </c>
      <c r="N59" s="20">
        <f t="shared" si="11"/>
        <v>2500</v>
      </c>
    </row>
    <row r="60" spans="1:14" ht="16" x14ac:dyDescent="0.2">
      <c r="A60" s="17">
        <v>49</v>
      </c>
      <c r="B60" s="17" t="s">
        <v>133</v>
      </c>
      <c r="C60" s="17" t="s">
        <v>150</v>
      </c>
      <c r="D60" s="17" t="s">
        <v>76</v>
      </c>
      <c r="E60" s="18">
        <v>1</v>
      </c>
      <c r="F60" s="19">
        <v>3000</v>
      </c>
      <c r="G60" s="20">
        <f t="shared" si="8"/>
        <v>3000</v>
      </c>
      <c r="H60" s="19">
        <v>8000</v>
      </c>
      <c r="I60" s="20">
        <f t="shared" si="9"/>
        <v>8000</v>
      </c>
      <c r="J60" s="19">
        <v>12000</v>
      </c>
      <c r="K60" s="20">
        <f t="shared" si="10"/>
        <v>12000</v>
      </c>
      <c r="L60" s="17" t="s">
        <v>151</v>
      </c>
      <c r="M60" s="18" t="s">
        <v>57</v>
      </c>
      <c r="N60" s="20">
        <f t="shared" si="11"/>
        <v>8000</v>
      </c>
    </row>
    <row r="61" spans="1:14" ht="32" x14ac:dyDescent="0.2">
      <c r="A61" s="17">
        <v>50</v>
      </c>
      <c r="B61" s="17" t="s">
        <v>133</v>
      </c>
      <c r="C61" s="17" t="s">
        <v>152</v>
      </c>
      <c r="D61" s="17" t="s">
        <v>66</v>
      </c>
      <c r="E61" s="18">
        <v>1</v>
      </c>
      <c r="F61" s="19">
        <v>2000</v>
      </c>
      <c r="G61" s="20">
        <f t="shared" si="8"/>
        <v>2000</v>
      </c>
      <c r="H61" s="19">
        <v>4000</v>
      </c>
      <c r="I61" s="20">
        <f t="shared" si="9"/>
        <v>4000</v>
      </c>
      <c r="J61" s="19">
        <v>6000</v>
      </c>
      <c r="K61" s="20">
        <f t="shared" si="10"/>
        <v>6000</v>
      </c>
      <c r="L61" s="17"/>
      <c r="M61" s="18" t="s">
        <v>57</v>
      </c>
      <c r="N61" s="20">
        <f t="shared" si="11"/>
        <v>4000</v>
      </c>
    </row>
    <row r="62" spans="1:14" ht="16" x14ac:dyDescent="0.2">
      <c r="A62" s="17">
        <v>51</v>
      </c>
      <c r="B62" s="17" t="s">
        <v>133</v>
      </c>
      <c r="C62" s="17" t="s">
        <v>153</v>
      </c>
      <c r="D62" s="17" t="s">
        <v>76</v>
      </c>
      <c r="E62" s="32">
        <f>Параметры!$B$9+Параметры!$B$10</f>
        <v>38</v>
      </c>
      <c r="F62" s="19">
        <v>250</v>
      </c>
      <c r="G62" s="20">
        <f t="shared" si="8"/>
        <v>9500</v>
      </c>
      <c r="H62" s="19">
        <v>400</v>
      </c>
      <c r="I62" s="20">
        <f t="shared" si="9"/>
        <v>15200</v>
      </c>
      <c r="J62" s="19">
        <v>600</v>
      </c>
      <c r="K62" s="20">
        <f t="shared" si="10"/>
        <v>22800</v>
      </c>
      <c r="L62" s="17"/>
      <c r="M62" s="18" t="s">
        <v>57</v>
      </c>
      <c r="N62" s="20">
        <f t="shared" si="11"/>
        <v>15200</v>
      </c>
    </row>
    <row r="63" spans="1:14" ht="32" x14ac:dyDescent="0.2">
      <c r="A63" s="17">
        <v>52</v>
      </c>
      <c r="B63" s="17" t="s">
        <v>133</v>
      </c>
      <c r="C63" s="17" t="s">
        <v>154</v>
      </c>
      <c r="D63" s="17" t="s">
        <v>66</v>
      </c>
      <c r="E63" s="18">
        <v>1</v>
      </c>
      <c r="F63" s="19">
        <v>6000</v>
      </c>
      <c r="G63" s="20">
        <f t="shared" si="8"/>
        <v>6000</v>
      </c>
      <c r="H63" s="19">
        <v>15000</v>
      </c>
      <c r="I63" s="20">
        <f t="shared" si="9"/>
        <v>15000</v>
      </c>
      <c r="J63" s="19">
        <v>25000</v>
      </c>
      <c r="K63" s="20">
        <f t="shared" si="10"/>
        <v>25000</v>
      </c>
      <c r="L63" s="17"/>
      <c r="M63" s="18" t="s">
        <v>57</v>
      </c>
      <c r="N63" s="20">
        <f t="shared" si="11"/>
        <v>15000</v>
      </c>
    </row>
    <row r="64" spans="1:14" ht="32" x14ac:dyDescent="0.2">
      <c r="A64" s="17">
        <v>53</v>
      </c>
      <c r="B64" s="17" t="s">
        <v>133</v>
      </c>
      <c r="C64" s="17" t="s">
        <v>155</v>
      </c>
      <c r="D64" s="17" t="s">
        <v>66</v>
      </c>
      <c r="E64" s="18">
        <v>1</v>
      </c>
      <c r="F64" s="19">
        <v>2500</v>
      </c>
      <c r="G64" s="20">
        <f t="shared" si="8"/>
        <v>2500</v>
      </c>
      <c r="H64" s="19">
        <v>3500</v>
      </c>
      <c r="I64" s="20">
        <f t="shared" si="9"/>
        <v>3500</v>
      </c>
      <c r="J64" s="19">
        <v>5000</v>
      </c>
      <c r="K64" s="20">
        <f t="shared" si="10"/>
        <v>5000</v>
      </c>
      <c r="L64" s="17"/>
      <c r="M64" s="18" t="s">
        <v>57</v>
      </c>
      <c r="N64" s="20">
        <f t="shared" si="11"/>
        <v>3500</v>
      </c>
    </row>
    <row r="65" spans="1:14" ht="32" x14ac:dyDescent="0.2">
      <c r="A65" s="17">
        <v>54</v>
      </c>
      <c r="B65" s="17" t="s">
        <v>133</v>
      </c>
      <c r="C65" s="17" t="s">
        <v>156</v>
      </c>
      <c r="D65" s="17" t="s">
        <v>66</v>
      </c>
      <c r="E65" s="18">
        <v>1</v>
      </c>
      <c r="F65" s="19">
        <v>2000</v>
      </c>
      <c r="G65" s="20">
        <f t="shared" si="8"/>
        <v>2000</v>
      </c>
      <c r="H65" s="19">
        <v>4000</v>
      </c>
      <c r="I65" s="20">
        <f t="shared" si="9"/>
        <v>4000</v>
      </c>
      <c r="J65" s="19">
        <v>6000</v>
      </c>
      <c r="K65" s="20">
        <f t="shared" si="10"/>
        <v>6000</v>
      </c>
      <c r="L65" s="17"/>
      <c r="M65" s="18" t="s">
        <v>57</v>
      </c>
      <c r="N65" s="20">
        <f t="shared" si="11"/>
        <v>4000</v>
      </c>
    </row>
    <row r="66" spans="1:14" ht="16" x14ac:dyDescent="0.2">
      <c r="A66" s="17">
        <v>55</v>
      </c>
      <c r="B66" s="17" t="s">
        <v>133</v>
      </c>
      <c r="C66" s="17" t="s">
        <v>157</v>
      </c>
      <c r="D66" s="17" t="s">
        <v>55</v>
      </c>
      <c r="E66" s="32">
        <f>Параметры!$B$15</f>
        <v>120</v>
      </c>
      <c r="F66" s="19">
        <v>250</v>
      </c>
      <c r="G66" s="20">
        <f t="shared" si="8"/>
        <v>30000</v>
      </c>
      <c r="H66" s="19">
        <v>350</v>
      </c>
      <c r="I66" s="20">
        <f t="shared" si="9"/>
        <v>42000</v>
      </c>
      <c r="J66" s="19">
        <v>600</v>
      </c>
      <c r="K66" s="20">
        <f t="shared" si="10"/>
        <v>72000</v>
      </c>
      <c r="L66" s="17" t="s">
        <v>158</v>
      </c>
      <c r="M66" s="18" t="s">
        <v>57</v>
      </c>
      <c r="N66" s="20">
        <f t="shared" si="11"/>
        <v>42000</v>
      </c>
    </row>
    <row r="67" spans="1:14" ht="32" x14ac:dyDescent="0.2">
      <c r="A67" s="17">
        <v>56</v>
      </c>
      <c r="B67" s="17" t="s">
        <v>133</v>
      </c>
      <c r="C67" s="17" t="s">
        <v>159</v>
      </c>
      <c r="D67" s="17" t="s">
        <v>66</v>
      </c>
      <c r="E67" s="18">
        <v>1</v>
      </c>
      <c r="F67" s="19">
        <v>0</v>
      </c>
      <c r="G67" s="20">
        <f t="shared" si="8"/>
        <v>0</v>
      </c>
      <c r="H67" s="19">
        <v>8000</v>
      </c>
      <c r="I67" s="20">
        <f t="shared" si="9"/>
        <v>8000</v>
      </c>
      <c r="J67" s="19">
        <v>30000</v>
      </c>
      <c r="K67" s="20">
        <f t="shared" si="10"/>
        <v>30000</v>
      </c>
      <c r="L67" s="17"/>
      <c r="M67" s="18" t="s">
        <v>57</v>
      </c>
      <c r="N67" s="20">
        <f t="shared" si="11"/>
        <v>8000</v>
      </c>
    </row>
    <row r="68" spans="1:14" ht="16" x14ac:dyDescent="0.2">
      <c r="A68" s="17">
        <v>57</v>
      </c>
      <c r="B68" s="17" t="s">
        <v>133</v>
      </c>
      <c r="C68" s="17" t="s">
        <v>160</v>
      </c>
      <c r="D68" s="17" t="s">
        <v>76</v>
      </c>
      <c r="E68" s="32">
        <f>Параметры!$B$16</f>
        <v>3</v>
      </c>
      <c r="F68" s="19">
        <v>4000</v>
      </c>
      <c r="G68" s="20">
        <f t="shared" si="8"/>
        <v>12000</v>
      </c>
      <c r="H68" s="19">
        <v>6000</v>
      </c>
      <c r="I68" s="20">
        <f t="shared" si="9"/>
        <v>18000</v>
      </c>
      <c r="J68" s="19">
        <v>10000</v>
      </c>
      <c r="K68" s="20">
        <f t="shared" si="10"/>
        <v>30000</v>
      </c>
      <c r="L68" s="17"/>
      <c r="M68" s="18" t="s">
        <v>57</v>
      </c>
      <c r="N68" s="20">
        <f t="shared" si="11"/>
        <v>18000</v>
      </c>
    </row>
    <row r="69" spans="1:14" ht="16" x14ac:dyDescent="0.2">
      <c r="A69" s="17">
        <v>58</v>
      </c>
      <c r="B69" s="17" t="s">
        <v>133</v>
      </c>
      <c r="C69" s="17" t="s">
        <v>161</v>
      </c>
      <c r="D69" s="17" t="s">
        <v>76</v>
      </c>
      <c r="E69" s="32">
        <f>Параметры!$B$17</f>
        <v>1</v>
      </c>
      <c r="F69" s="19">
        <v>7000</v>
      </c>
      <c r="G69" s="20">
        <f t="shared" si="8"/>
        <v>7000</v>
      </c>
      <c r="H69" s="19">
        <v>10000</v>
      </c>
      <c r="I69" s="20">
        <f t="shared" si="9"/>
        <v>10000</v>
      </c>
      <c r="J69" s="19">
        <v>20000</v>
      </c>
      <c r="K69" s="20">
        <f t="shared" si="10"/>
        <v>20000</v>
      </c>
      <c r="L69" s="17"/>
      <c r="M69" s="18" t="s">
        <v>57</v>
      </c>
      <c r="N69" s="20">
        <f t="shared" si="11"/>
        <v>10000</v>
      </c>
    </row>
    <row r="70" spans="1:14" ht="32" x14ac:dyDescent="0.2">
      <c r="A70" s="17">
        <v>59</v>
      </c>
      <c r="B70" s="17" t="s">
        <v>133</v>
      </c>
      <c r="C70" s="17" t="s">
        <v>162</v>
      </c>
      <c r="D70" s="17" t="s">
        <v>66</v>
      </c>
      <c r="E70" s="18">
        <v>1</v>
      </c>
      <c r="F70" s="19">
        <v>0</v>
      </c>
      <c r="G70" s="20">
        <f t="shared" si="8"/>
        <v>0</v>
      </c>
      <c r="H70" s="19">
        <v>8000</v>
      </c>
      <c r="I70" s="20">
        <f t="shared" si="9"/>
        <v>8000</v>
      </c>
      <c r="J70" s="19">
        <v>15000</v>
      </c>
      <c r="K70" s="20">
        <f t="shared" si="10"/>
        <v>15000</v>
      </c>
      <c r="L70" s="17"/>
      <c r="M70" s="18" t="s">
        <v>57</v>
      </c>
      <c r="N70" s="20">
        <f t="shared" si="11"/>
        <v>8000</v>
      </c>
    </row>
    <row r="71" spans="1:14" ht="32" x14ac:dyDescent="0.2">
      <c r="A71" s="17">
        <v>60</v>
      </c>
      <c r="B71" s="17" t="s">
        <v>133</v>
      </c>
      <c r="C71" s="17" t="s">
        <v>163</v>
      </c>
      <c r="D71" s="17" t="s">
        <v>66</v>
      </c>
      <c r="E71" s="18">
        <v>1</v>
      </c>
      <c r="F71" s="19">
        <v>8000</v>
      </c>
      <c r="G71" s="20">
        <f t="shared" si="8"/>
        <v>8000</v>
      </c>
      <c r="H71" s="19">
        <v>15000</v>
      </c>
      <c r="I71" s="20">
        <f t="shared" si="9"/>
        <v>15000</v>
      </c>
      <c r="J71" s="19">
        <v>25000</v>
      </c>
      <c r="K71" s="20">
        <f t="shared" si="10"/>
        <v>25000</v>
      </c>
      <c r="L71" s="17"/>
      <c r="M71" s="18" t="s">
        <v>57</v>
      </c>
      <c r="N71" s="20">
        <f t="shared" si="11"/>
        <v>15000</v>
      </c>
    </row>
    <row r="73" spans="1:14" x14ac:dyDescent="0.2">
      <c r="A73" s="16"/>
      <c r="B73" s="16"/>
      <c r="C73" s="15" t="s">
        <v>164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x14ac:dyDescent="0.2">
      <c r="C74" s="22" t="s">
        <v>52</v>
      </c>
      <c r="G74" s="23">
        <f>SUM(G6:G10)</f>
        <v>45350</v>
      </c>
      <c r="I74" s="23">
        <f>SUM(I6:I10)</f>
        <v>83050</v>
      </c>
      <c r="K74" s="23">
        <f>SUM(K6:K10)</f>
        <v>167050</v>
      </c>
      <c r="N74" s="23">
        <f>SUM(N6:N10)</f>
        <v>83050</v>
      </c>
    </row>
    <row r="75" spans="1:14" x14ac:dyDescent="0.2">
      <c r="C75" s="22" t="s">
        <v>68</v>
      </c>
      <c r="G75" s="23">
        <f>SUM(G12:G16)</f>
        <v>31960</v>
      </c>
      <c r="I75" s="23">
        <f>SUM(I12:I16)</f>
        <v>79180</v>
      </c>
      <c r="K75" s="23">
        <f>SUM(K12:K16)</f>
        <v>164320</v>
      </c>
      <c r="N75" s="23">
        <f>SUM(N12:N16)</f>
        <v>79180</v>
      </c>
    </row>
    <row r="76" spans="1:14" x14ac:dyDescent="0.2">
      <c r="C76" s="22" t="s">
        <v>80</v>
      </c>
      <c r="G76" s="23">
        <f>SUM(G18:G31)</f>
        <v>58000</v>
      </c>
      <c r="I76" s="23">
        <f>SUM(I18:I31)</f>
        <v>187000</v>
      </c>
      <c r="K76" s="23">
        <f>SUM(K18:K31)</f>
        <v>445000</v>
      </c>
      <c r="N76" s="23">
        <f>SUM(N18:N31)</f>
        <v>187000</v>
      </c>
    </row>
    <row r="77" spans="1:14" x14ac:dyDescent="0.2">
      <c r="C77" s="22" t="s">
        <v>104</v>
      </c>
      <c r="G77" s="23">
        <f>SUM(G33:G39)</f>
        <v>25880</v>
      </c>
      <c r="I77" s="23">
        <f>SUM(I33:I39)</f>
        <v>78230</v>
      </c>
      <c r="K77" s="23">
        <f>SUM(K33:K39)</f>
        <v>184280</v>
      </c>
      <c r="N77" s="23">
        <f>SUM(N33:N39)</f>
        <v>78230</v>
      </c>
    </row>
    <row r="78" spans="1:14" x14ac:dyDescent="0.2">
      <c r="C78" s="22" t="s">
        <v>117</v>
      </c>
      <c r="G78" s="23">
        <f>SUM(G41:G43)</f>
        <v>28000</v>
      </c>
      <c r="I78" s="23">
        <f>SUM(I41:I43)</f>
        <v>76000</v>
      </c>
      <c r="K78" s="23">
        <f>SUM(K41:K43)</f>
        <v>216000</v>
      </c>
      <c r="N78" s="23">
        <f>SUM(N41:N43)</f>
        <v>76000</v>
      </c>
    </row>
    <row r="79" spans="1:14" x14ac:dyDescent="0.2">
      <c r="C79" s="22" t="s">
        <v>124</v>
      </c>
      <c r="G79" s="23">
        <f>SUM(G45:G47)</f>
        <v>43000</v>
      </c>
      <c r="I79" s="23">
        <f>SUM(I45:I47)</f>
        <v>95000</v>
      </c>
      <c r="K79" s="23">
        <f>SUM(K45:K47)</f>
        <v>237000</v>
      </c>
      <c r="N79" s="23">
        <f>SUM(N45:N47)</f>
        <v>95000</v>
      </c>
    </row>
    <row r="80" spans="1:14" x14ac:dyDescent="0.2">
      <c r="C80" s="22" t="s">
        <v>132</v>
      </c>
      <c r="G80" s="23">
        <f>SUM(G49:G71)</f>
        <v>125600</v>
      </c>
      <c r="I80" s="23">
        <f>SUM(I49:I71)</f>
        <v>235100</v>
      </c>
      <c r="K80" s="23">
        <f>SUM(K49:K71)</f>
        <v>420200</v>
      </c>
      <c r="N80" s="23">
        <f>SUM(N49:N71)</f>
        <v>235100</v>
      </c>
    </row>
    <row r="81" spans="1:14" x14ac:dyDescent="0.2">
      <c r="C81" s="22" t="s">
        <v>165</v>
      </c>
      <c r="G81" s="23">
        <f>SUM(G74:G79)</f>
        <v>232190</v>
      </c>
      <c r="I81" s="23">
        <f>SUM(I74:I79)</f>
        <v>598460</v>
      </c>
      <c r="K81" s="23">
        <f>SUM(K74:K79)</f>
        <v>1413650</v>
      </c>
      <c r="N81" s="23">
        <f>SUM(N74:N79)</f>
        <v>598460</v>
      </c>
    </row>
    <row r="82" spans="1:14" x14ac:dyDescent="0.2">
      <c r="C82" s="22" t="s">
        <v>166</v>
      </c>
      <c r="G82" s="23">
        <f>G80</f>
        <v>125600</v>
      </c>
      <c r="I82" s="23">
        <f>I80</f>
        <v>235100</v>
      </c>
      <c r="K82" s="23">
        <f>K80</f>
        <v>420200</v>
      </c>
      <c r="N82" s="23">
        <f>N80</f>
        <v>235100</v>
      </c>
    </row>
    <row r="83" spans="1:14" x14ac:dyDescent="0.2">
      <c r="A83" s="24"/>
      <c r="B83" s="24"/>
      <c r="C83" s="25" t="s">
        <v>167</v>
      </c>
      <c r="D83" s="24"/>
      <c r="E83" s="24"/>
      <c r="F83" s="24"/>
      <c r="G83" s="26">
        <f>SUM(G74:G80)</f>
        <v>357790</v>
      </c>
      <c r="H83" s="24"/>
      <c r="I83" s="26">
        <f>SUM(I74:I80)</f>
        <v>833560</v>
      </c>
      <c r="J83" s="24"/>
      <c r="K83" s="26">
        <f>SUM(K74:K80)</f>
        <v>1833850</v>
      </c>
      <c r="L83" s="24"/>
      <c r="M83" s="24"/>
      <c r="N83" s="26">
        <f>SUM(N74:N80)</f>
        <v>833560</v>
      </c>
    </row>
    <row r="84" spans="1:14" x14ac:dyDescent="0.2">
      <c r="C84" s="22" t="s">
        <v>168</v>
      </c>
      <c r="E84" s="27">
        <f>Параметры!$B$18</f>
        <v>0.1</v>
      </c>
      <c r="G84" s="28">
        <f>G83*$E$84</f>
        <v>35779</v>
      </c>
      <c r="I84" s="28">
        <f>I83*$E$84</f>
        <v>83356</v>
      </c>
      <c r="K84" s="28">
        <f>K83*$E$84</f>
        <v>183385</v>
      </c>
      <c r="N84" s="28">
        <f>N83*$E$84</f>
        <v>83356</v>
      </c>
    </row>
    <row r="85" spans="1:14" ht="16" x14ac:dyDescent="0.2">
      <c r="A85" s="24"/>
      <c r="B85" s="24"/>
      <c r="C85" s="29" t="s">
        <v>169</v>
      </c>
      <c r="D85" s="24"/>
      <c r="E85" s="24"/>
      <c r="F85" s="24"/>
      <c r="G85" s="30">
        <f>G83+G84</f>
        <v>393569</v>
      </c>
      <c r="H85" s="24"/>
      <c r="I85" s="30">
        <f>I83+I84</f>
        <v>916916</v>
      </c>
      <c r="J85" s="24"/>
      <c r="K85" s="30">
        <f>K83+K84</f>
        <v>2017235</v>
      </c>
      <c r="L85" s="24"/>
      <c r="M85" s="24"/>
      <c r="N85" s="30">
        <f>N83+N84</f>
        <v>916916</v>
      </c>
    </row>
    <row r="86" spans="1:14" x14ac:dyDescent="0.2">
      <c r="C86" s="33" t="s">
        <v>170</v>
      </c>
      <c r="G86" s="28">
        <f>IF(Параметры!$B$4=0,0,G85/Параметры!$B$4)</f>
        <v>7142.8130671506351</v>
      </c>
      <c r="I86" s="28">
        <f>IF(Параметры!$B$4=0,0,I85/Параметры!$B$4)</f>
        <v>16640.943738656988</v>
      </c>
      <c r="K86" s="28">
        <f>IF(Параметры!$B$4=0,0,K85/Параметры!$B$4)</f>
        <v>36610.435571687842</v>
      </c>
      <c r="N86" s="28">
        <f>IF(Параметры!$B$4=0,0,N85/Параметры!$B$4)</f>
        <v>16640.943738656988</v>
      </c>
    </row>
    <row r="88" spans="1:14" ht="30" customHeight="1" x14ac:dyDescent="0.2">
      <c r="C88" s="31" t="s">
        <v>171</v>
      </c>
      <c r="D88" s="31"/>
      <c r="E88" s="31"/>
      <c r="F88" s="31"/>
      <c r="G88" s="31"/>
      <c r="H88" s="31"/>
      <c r="I88" s="31"/>
      <c r="J88" s="31"/>
      <c r="K88" s="31"/>
      <c r="L88" s="31"/>
    </row>
  </sheetData>
  <mergeCells count="1">
    <mergeCell ref="C88:L88"/>
  </mergeCells>
  <dataValidations count="1">
    <dataValidation type="list" sqref="M5:M71" xr:uid="{00000000-0002-0000-0100-000000000000}">
      <formula1>"МИН,СРЕД,МАКС"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5"/>
  <sheetViews>
    <sheetView zoomScaleNormal="100" workbookViewId="0">
      <pane xSplit="3" ySplit="4" topLeftCell="D56" activePane="bottomRight" state="frozen"/>
      <selection pane="topRight" activeCell="D1" sqref="D1"/>
      <selection pane="bottomLeft" activeCell="A5" sqref="A5"/>
      <selection pane="bottomRight" activeCell="H68" sqref="H68"/>
    </sheetView>
  </sheetViews>
  <sheetFormatPr baseColWidth="10" defaultColWidth="8.6640625" defaultRowHeight="15" x14ac:dyDescent="0.2"/>
  <cols>
    <col min="1" max="1" width="4" style="12" customWidth="1"/>
    <col min="2" max="2" width="14" style="12" customWidth="1"/>
    <col min="3" max="3" width="46" style="12" customWidth="1"/>
    <col min="4" max="4" width="6" style="12" customWidth="1"/>
    <col min="5" max="5" width="8" style="12" customWidth="1"/>
    <col min="6" max="6" width="11" style="12" customWidth="1"/>
    <col min="7" max="7" width="12" style="12" customWidth="1"/>
    <col min="8" max="8" width="11" style="12" customWidth="1"/>
    <col min="9" max="9" width="12" style="12" customWidth="1"/>
    <col min="10" max="10" width="11" style="12" customWidth="1"/>
    <col min="11" max="11" width="12" style="12" customWidth="1"/>
    <col min="12" max="12" width="60" style="12" customWidth="1"/>
    <col min="13" max="13" width="34" style="12" customWidth="1"/>
    <col min="14" max="14" width="10" style="12" customWidth="1"/>
    <col min="15" max="15" width="12" style="12" customWidth="1"/>
    <col min="16" max="16384" width="8.6640625" style="12"/>
  </cols>
  <sheetData>
    <row r="1" spans="1:15" ht="17" x14ac:dyDescent="0.2">
      <c r="A1" s="11" t="s">
        <v>172</v>
      </c>
    </row>
    <row r="2" spans="1:15" x14ac:dyDescent="0.2">
      <c r="A2" s="12" t="s">
        <v>173</v>
      </c>
    </row>
    <row r="4" spans="1:15" ht="28" x14ac:dyDescent="0.2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  <c r="F4" s="13" t="s">
        <v>43</v>
      </c>
      <c r="G4" s="14" t="s">
        <v>44</v>
      </c>
      <c r="H4" s="13" t="s">
        <v>45</v>
      </c>
      <c r="I4" s="14" t="s">
        <v>46</v>
      </c>
      <c r="J4" s="13" t="s">
        <v>47</v>
      </c>
      <c r="K4" s="14" t="s">
        <v>48</v>
      </c>
      <c r="L4" s="13" t="s">
        <v>49</v>
      </c>
      <c r="M4" s="13" t="s">
        <v>174</v>
      </c>
      <c r="N4" s="13" t="s">
        <v>50</v>
      </c>
      <c r="O4" s="13" t="s">
        <v>51</v>
      </c>
    </row>
    <row r="5" spans="1:15" x14ac:dyDescent="0.2">
      <c r="A5" s="15" t="s">
        <v>175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48" x14ac:dyDescent="0.2">
      <c r="A6" s="17">
        <v>1</v>
      </c>
      <c r="B6" s="17" t="s">
        <v>176</v>
      </c>
      <c r="C6" s="17" t="s">
        <v>177</v>
      </c>
      <c r="D6" s="17" t="s">
        <v>66</v>
      </c>
      <c r="E6" s="18">
        <v>1</v>
      </c>
      <c r="F6" s="19">
        <v>70000</v>
      </c>
      <c r="G6" s="20">
        <f t="shared" ref="G6:G17" si="0">E6*F6</f>
        <v>70000</v>
      </c>
      <c r="H6" s="19">
        <v>150000</v>
      </c>
      <c r="I6" s="20">
        <f t="shared" ref="I6:I17" si="1">E6*H6</f>
        <v>150000</v>
      </c>
      <c r="J6" s="19">
        <v>450000</v>
      </c>
      <c r="K6" s="20">
        <f t="shared" ref="K6:K17" si="2">E6*J6</f>
        <v>450000</v>
      </c>
      <c r="L6" s="17" t="s">
        <v>178</v>
      </c>
      <c r="M6" s="21" t="s">
        <v>179</v>
      </c>
      <c r="N6" s="18" t="s">
        <v>180</v>
      </c>
      <c r="O6" s="20">
        <f t="shared" ref="O6:O17" si="3">IF(N6="МИН",G6,IF(N6="МАКС",K6,I6))</f>
        <v>70000</v>
      </c>
    </row>
    <row r="7" spans="1:15" ht="32" x14ac:dyDescent="0.2">
      <c r="A7" s="17">
        <v>2</v>
      </c>
      <c r="B7" s="17" t="s">
        <v>176</v>
      </c>
      <c r="C7" s="17" t="s">
        <v>181</v>
      </c>
      <c r="D7" s="17" t="s">
        <v>66</v>
      </c>
      <c r="E7" s="18">
        <v>1</v>
      </c>
      <c r="F7" s="19">
        <v>8000</v>
      </c>
      <c r="G7" s="20">
        <f t="shared" si="0"/>
        <v>8000</v>
      </c>
      <c r="H7" s="19">
        <v>20000</v>
      </c>
      <c r="I7" s="20">
        <f t="shared" si="1"/>
        <v>20000</v>
      </c>
      <c r="J7" s="19">
        <v>90000</v>
      </c>
      <c r="K7" s="20">
        <f t="shared" si="2"/>
        <v>90000</v>
      </c>
      <c r="L7" s="17" t="s">
        <v>182</v>
      </c>
      <c r="M7" s="21" t="s">
        <v>183</v>
      </c>
      <c r="N7" s="18" t="s">
        <v>180</v>
      </c>
      <c r="O7" s="20">
        <f t="shared" si="3"/>
        <v>8000</v>
      </c>
    </row>
    <row r="8" spans="1:15" ht="32" x14ac:dyDescent="0.2">
      <c r="A8" s="17">
        <v>3</v>
      </c>
      <c r="B8" s="17" t="s">
        <v>176</v>
      </c>
      <c r="C8" s="17" t="s">
        <v>184</v>
      </c>
      <c r="D8" s="17" t="s">
        <v>66</v>
      </c>
      <c r="E8" s="18">
        <v>1</v>
      </c>
      <c r="F8" s="19">
        <v>5000</v>
      </c>
      <c r="G8" s="20">
        <f t="shared" si="0"/>
        <v>5000</v>
      </c>
      <c r="H8" s="19">
        <v>15000</v>
      </c>
      <c r="I8" s="20">
        <f t="shared" si="1"/>
        <v>15000</v>
      </c>
      <c r="J8" s="19">
        <v>35000</v>
      </c>
      <c r="K8" s="20">
        <f t="shared" si="2"/>
        <v>35000</v>
      </c>
      <c r="L8" s="17" t="s">
        <v>185</v>
      </c>
      <c r="M8" s="21" t="s">
        <v>186</v>
      </c>
      <c r="N8" s="18" t="s">
        <v>57</v>
      </c>
      <c r="O8" s="20">
        <f t="shared" si="3"/>
        <v>15000</v>
      </c>
    </row>
    <row r="9" spans="1:15" ht="32" x14ac:dyDescent="0.2">
      <c r="A9" s="17">
        <v>4</v>
      </c>
      <c r="B9" s="17" t="s">
        <v>176</v>
      </c>
      <c r="C9" s="17" t="s">
        <v>187</v>
      </c>
      <c r="D9" s="17" t="s">
        <v>66</v>
      </c>
      <c r="E9" s="18">
        <v>1</v>
      </c>
      <c r="F9" s="19">
        <v>6000</v>
      </c>
      <c r="G9" s="20">
        <f t="shared" si="0"/>
        <v>6000</v>
      </c>
      <c r="H9" s="19">
        <v>18000</v>
      </c>
      <c r="I9" s="20">
        <f t="shared" si="1"/>
        <v>18000</v>
      </c>
      <c r="J9" s="19">
        <v>45000</v>
      </c>
      <c r="K9" s="20">
        <f t="shared" si="2"/>
        <v>45000</v>
      </c>
      <c r="L9" s="17" t="s">
        <v>188</v>
      </c>
      <c r="M9" s="21" t="s">
        <v>186</v>
      </c>
      <c r="N9" s="18" t="s">
        <v>57</v>
      </c>
      <c r="O9" s="20">
        <f t="shared" si="3"/>
        <v>18000</v>
      </c>
    </row>
    <row r="10" spans="1:15" ht="48" x14ac:dyDescent="0.2">
      <c r="A10" s="17">
        <v>5</v>
      </c>
      <c r="B10" s="17" t="s">
        <v>176</v>
      </c>
      <c r="C10" s="17" t="s">
        <v>189</v>
      </c>
      <c r="D10" s="17" t="s">
        <v>76</v>
      </c>
      <c r="E10" s="18">
        <v>1</v>
      </c>
      <c r="F10" s="19">
        <v>12000</v>
      </c>
      <c r="G10" s="20">
        <f t="shared" si="0"/>
        <v>12000</v>
      </c>
      <c r="H10" s="19">
        <v>30000</v>
      </c>
      <c r="I10" s="20">
        <f t="shared" si="1"/>
        <v>30000</v>
      </c>
      <c r="J10" s="19">
        <v>70000</v>
      </c>
      <c r="K10" s="20">
        <f t="shared" si="2"/>
        <v>70000</v>
      </c>
      <c r="L10" s="17" t="s">
        <v>190</v>
      </c>
      <c r="M10" s="21" t="s">
        <v>191</v>
      </c>
      <c r="N10" s="18" t="s">
        <v>57</v>
      </c>
      <c r="O10" s="20">
        <f t="shared" si="3"/>
        <v>30000</v>
      </c>
    </row>
    <row r="11" spans="1:15" ht="16" x14ac:dyDescent="0.2">
      <c r="A11" s="17">
        <v>6</v>
      </c>
      <c r="B11" s="17" t="s">
        <v>176</v>
      </c>
      <c r="C11" s="17" t="s">
        <v>192</v>
      </c>
      <c r="D11" s="17" t="s">
        <v>76</v>
      </c>
      <c r="E11" s="18">
        <v>1</v>
      </c>
      <c r="F11" s="19">
        <v>20000</v>
      </c>
      <c r="G11" s="20">
        <f t="shared" si="0"/>
        <v>20000</v>
      </c>
      <c r="H11" s="19">
        <v>40000</v>
      </c>
      <c r="I11" s="20">
        <f t="shared" si="1"/>
        <v>40000</v>
      </c>
      <c r="J11" s="19">
        <v>90000</v>
      </c>
      <c r="K11" s="20">
        <f t="shared" si="2"/>
        <v>90000</v>
      </c>
      <c r="L11" s="17"/>
      <c r="M11" s="21" t="s">
        <v>191</v>
      </c>
      <c r="N11" s="18" t="s">
        <v>180</v>
      </c>
      <c r="O11" s="20">
        <f t="shared" si="3"/>
        <v>20000</v>
      </c>
    </row>
    <row r="12" spans="1:15" ht="16" x14ac:dyDescent="0.2">
      <c r="A12" s="17">
        <v>7</v>
      </c>
      <c r="B12" s="17" t="s">
        <v>176</v>
      </c>
      <c r="C12" s="17" t="s">
        <v>193</v>
      </c>
      <c r="D12" s="17" t="s">
        <v>76</v>
      </c>
      <c r="E12" s="18">
        <v>1</v>
      </c>
      <c r="F12" s="19">
        <v>5000</v>
      </c>
      <c r="G12" s="20">
        <f t="shared" si="0"/>
        <v>5000</v>
      </c>
      <c r="H12" s="19">
        <v>15000</v>
      </c>
      <c r="I12" s="20">
        <f t="shared" si="1"/>
        <v>15000</v>
      </c>
      <c r="J12" s="19">
        <v>40000</v>
      </c>
      <c r="K12" s="20">
        <f t="shared" si="2"/>
        <v>40000</v>
      </c>
      <c r="L12" s="17"/>
      <c r="M12" s="21" t="s">
        <v>191</v>
      </c>
      <c r="N12" s="18" t="s">
        <v>180</v>
      </c>
      <c r="O12" s="20">
        <f t="shared" si="3"/>
        <v>5000</v>
      </c>
    </row>
    <row r="13" spans="1:15" ht="16" x14ac:dyDescent="0.2">
      <c r="A13" s="17">
        <v>8</v>
      </c>
      <c r="B13" s="17" t="s">
        <v>176</v>
      </c>
      <c r="C13" s="17" t="s">
        <v>194</v>
      </c>
      <c r="D13" s="17" t="s">
        <v>76</v>
      </c>
      <c r="E13" s="18">
        <v>1</v>
      </c>
      <c r="F13" s="19">
        <v>35000</v>
      </c>
      <c r="G13" s="20">
        <f t="shared" si="0"/>
        <v>35000</v>
      </c>
      <c r="H13" s="19">
        <v>70000</v>
      </c>
      <c r="I13" s="20">
        <f t="shared" si="1"/>
        <v>70000</v>
      </c>
      <c r="J13" s="19">
        <v>180000</v>
      </c>
      <c r="K13" s="20">
        <f t="shared" si="2"/>
        <v>180000</v>
      </c>
      <c r="L13" s="17" t="s">
        <v>195</v>
      </c>
      <c r="M13" s="21" t="s">
        <v>191</v>
      </c>
      <c r="N13" s="18" t="s">
        <v>57</v>
      </c>
      <c r="O13" s="20">
        <f t="shared" si="3"/>
        <v>70000</v>
      </c>
    </row>
    <row r="14" spans="1:15" ht="16" x14ac:dyDescent="0.2">
      <c r="A14" s="17">
        <v>9</v>
      </c>
      <c r="B14" s="17" t="s">
        <v>176</v>
      </c>
      <c r="C14" s="17" t="s">
        <v>196</v>
      </c>
      <c r="D14" s="17" t="s">
        <v>76</v>
      </c>
      <c r="E14" s="18">
        <v>1</v>
      </c>
      <c r="F14" s="19">
        <v>0</v>
      </c>
      <c r="G14" s="20">
        <f t="shared" si="0"/>
        <v>0</v>
      </c>
      <c r="H14" s="19">
        <v>35000</v>
      </c>
      <c r="I14" s="20">
        <f t="shared" si="1"/>
        <v>35000</v>
      </c>
      <c r="J14" s="19">
        <v>80000</v>
      </c>
      <c r="K14" s="20">
        <f t="shared" si="2"/>
        <v>80000</v>
      </c>
      <c r="L14" s="17" t="s">
        <v>197</v>
      </c>
      <c r="M14" s="21" t="s">
        <v>191</v>
      </c>
      <c r="N14" s="18" t="s">
        <v>57</v>
      </c>
      <c r="O14" s="20">
        <f t="shared" si="3"/>
        <v>35000</v>
      </c>
    </row>
    <row r="15" spans="1:15" ht="16" x14ac:dyDescent="0.2">
      <c r="A15" s="17">
        <v>10</v>
      </c>
      <c r="B15" s="17" t="s">
        <v>176</v>
      </c>
      <c r="C15" s="17" t="s">
        <v>198</v>
      </c>
      <c r="D15" s="17" t="s">
        <v>76</v>
      </c>
      <c r="E15" s="18">
        <v>1</v>
      </c>
      <c r="F15" s="19">
        <v>6000</v>
      </c>
      <c r="G15" s="20">
        <f t="shared" si="0"/>
        <v>6000</v>
      </c>
      <c r="H15" s="19">
        <v>12000</v>
      </c>
      <c r="I15" s="20">
        <f t="shared" si="1"/>
        <v>12000</v>
      </c>
      <c r="J15" s="19">
        <v>30000</v>
      </c>
      <c r="K15" s="20">
        <f t="shared" si="2"/>
        <v>30000</v>
      </c>
      <c r="L15" s="17"/>
      <c r="M15" s="21" t="s">
        <v>191</v>
      </c>
      <c r="N15" s="18" t="s">
        <v>180</v>
      </c>
      <c r="O15" s="20">
        <f t="shared" si="3"/>
        <v>6000</v>
      </c>
    </row>
    <row r="16" spans="1:15" ht="32" x14ac:dyDescent="0.2">
      <c r="A16" s="17">
        <v>11</v>
      </c>
      <c r="B16" s="17" t="s">
        <v>176</v>
      </c>
      <c r="C16" s="17" t="s">
        <v>199</v>
      </c>
      <c r="D16" s="17" t="s">
        <v>66</v>
      </c>
      <c r="E16" s="18">
        <v>1</v>
      </c>
      <c r="F16" s="19">
        <v>12000</v>
      </c>
      <c r="G16" s="20">
        <f t="shared" si="0"/>
        <v>12000</v>
      </c>
      <c r="H16" s="19">
        <v>35000</v>
      </c>
      <c r="I16" s="20">
        <f t="shared" si="1"/>
        <v>35000</v>
      </c>
      <c r="J16" s="19">
        <v>100000</v>
      </c>
      <c r="K16" s="20">
        <f t="shared" si="2"/>
        <v>100000</v>
      </c>
      <c r="L16" s="17" t="s">
        <v>200</v>
      </c>
      <c r="M16" s="21" t="s">
        <v>201</v>
      </c>
      <c r="N16" s="18" t="s">
        <v>180</v>
      </c>
      <c r="O16" s="20">
        <f t="shared" si="3"/>
        <v>12000</v>
      </c>
    </row>
    <row r="17" spans="1:15" ht="32" x14ac:dyDescent="0.2">
      <c r="A17" s="17">
        <v>12</v>
      </c>
      <c r="B17" s="17" t="s">
        <v>176</v>
      </c>
      <c r="C17" s="17" t="s">
        <v>202</v>
      </c>
      <c r="D17" s="17" t="s">
        <v>66</v>
      </c>
      <c r="E17" s="18">
        <v>1</v>
      </c>
      <c r="F17" s="19">
        <v>8000</v>
      </c>
      <c r="G17" s="20">
        <f t="shared" si="0"/>
        <v>8000</v>
      </c>
      <c r="H17" s="19">
        <v>20000</v>
      </c>
      <c r="I17" s="20">
        <f t="shared" si="1"/>
        <v>20000</v>
      </c>
      <c r="J17" s="19">
        <v>50000</v>
      </c>
      <c r="K17" s="20">
        <f t="shared" si="2"/>
        <v>50000</v>
      </c>
      <c r="L17" s="17"/>
      <c r="M17" s="21" t="s">
        <v>201</v>
      </c>
      <c r="N17" s="18" t="s">
        <v>180</v>
      </c>
      <c r="O17" s="20">
        <f t="shared" si="3"/>
        <v>8000</v>
      </c>
    </row>
    <row r="18" spans="1:15" x14ac:dyDescent="0.2">
      <c r="A18" s="15" t="s">
        <v>203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ht="32" x14ac:dyDescent="0.2">
      <c r="A19" s="17">
        <v>13</v>
      </c>
      <c r="B19" s="17" t="s">
        <v>204</v>
      </c>
      <c r="C19" s="17" t="s">
        <v>205</v>
      </c>
      <c r="D19" s="17" t="s">
        <v>76</v>
      </c>
      <c r="E19" s="18">
        <v>1</v>
      </c>
      <c r="F19" s="19">
        <v>15000</v>
      </c>
      <c r="G19" s="20">
        <f t="shared" ref="G19:G26" si="4">E19*F19</f>
        <v>15000</v>
      </c>
      <c r="H19" s="19">
        <v>40000</v>
      </c>
      <c r="I19" s="20">
        <f t="shared" ref="I19:I26" si="5">E19*H19</f>
        <v>40000</v>
      </c>
      <c r="J19" s="19">
        <v>120000</v>
      </c>
      <c r="K19" s="20">
        <f t="shared" ref="K19:K26" si="6">E19*J19</f>
        <v>120000</v>
      </c>
      <c r="L19" s="17" t="s">
        <v>206</v>
      </c>
      <c r="M19" s="21" t="s">
        <v>201</v>
      </c>
      <c r="N19" s="18" t="s">
        <v>180</v>
      </c>
      <c r="O19" s="20">
        <f t="shared" ref="O19:O26" si="7">IF(N19="МИН",G19,IF(N19="МАКС",K19,I19))</f>
        <v>15000</v>
      </c>
    </row>
    <row r="20" spans="1:15" ht="32" x14ac:dyDescent="0.2">
      <c r="A20" s="17">
        <v>14</v>
      </c>
      <c r="B20" s="17" t="s">
        <v>204</v>
      </c>
      <c r="C20" s="17" t="s">
        <v>207</v>
      </c>
      <c r="D20" s="17" t="s">
        <v>76</v>
      </c>
      <c r="E20" s="18">
        <v>1</v>
      </c>
      <c r="F20" s="19">
        <v>12000</v>
      </c>
      <c r="G20" s="20">
        <f t="shared" si="4"/>
        <v>12000</v>
      </c>
      <c r="H20" s="19">
        <v>30000</v>
      </c>
      <c r="I20" s="20">
        <f t="shared" si="5"/>
        <v>30000</v>
      </c>
      <c r="J20" s="19">
        <v>80000</v>
      </c>
      <c r="K20" s="20">
        <f t="shared" si="6"/>
        <v>80000</v>
      </c>
      <c r="L20" s="17" t="s">
        <v>208</v>
      </c>
      <c r="M20" s="21" t="s">
        <v>201</v>
      </c>
      <c r="N20" s="18" t="s">
        <v>57</v>
      </c>
      <c r="O20" s="20">
        <f t="shared" si="7"/>
        <v>30000</v>
      </c>
    </row>
    <row r="21" spans="1:15" ht="16" x14ac:dyDescent="0.2">
      <c r="A21" s="17">
        <v>15</v>
      </c>
      <c r="B21" s="17" t="s">
        <v>204</v>
      </c>
      <c r="C21" s="17" t="s">
        <v>209</v>
      </c>
      <c r="D21" s="17" t="s">
        <v>76</v>
      </c>
      <c r="E21" s="18">
        <v>1</v>
      </c>
      <c r="F21" s="19">
        <v>20000</v>
      </c>
      <c r="G21" s="20">
        <f t="shared" si="4"/>
        <v>20000</v>
      </c>
      <c r="H21" s="19">
        <v>60000</v>
      </c>
      <c r="I21" s="20">
        <f t="shared" si="5"/>
        <v>60000</v>
      </c>
      <c r="J21" s="19">
        <v>180000</v>
      </c>
      <c r="K21" s="20">
        <f t="shared" si="6"/>
        <v>180000</v>
      </c>
      <c r="L21" s="17" t="s">
        <v>210</v>
      </c>
      <c r="M21" s="21" t="s">
        <v>201</v>
      </c>
      <c r="N21" s="18" t="s">
        <v>180</v>
      </c>
      <c r="O21" s="20">
        <f t="shared" si="7"/>
        <v>20000</v>
      </c>
    </row>
    <row r="22" spans="1:15" ht="16" x14ac:dyDescent="0.2">
      <c r="A22" s="17">
        <v>16</v>
      </c>
      <c r="B22" s="17" t="s">
        <v>204</v>
      </c>
      <c r="C22" s="17" t="s">
        <v>211</v>
      </c>
      <c r="D22" s="17" t="s">
        <v>76</v>
      </c>
      <c r="E22" s="18">
        <v>2</v>
      </c>
      <c r="F22" s="19">
        <v>3000</v>
      </c>
      <c r="G22" s="20">
        <f t="shared" si="4"/>
        <v>6000</v>
      </c>
      <c r="H22" s="19">
        <v>8000</v>
      </c>
      <c r="I22" s="20">
        <f t="shared" si="5"/>
        <v>16000</v>
      </c>
      <c r="J22" s="19">
        <v>25000</v>
      </c>
      <c r="K22" s="20">
        <f t="shared" si="6"/>
        <v>50000</v>
      </c>
      <c r="L22" s="17"/>
      <c r="M22" s="21" t="s">
        <v>201</v>
      </c>
      <c r="N22" s="18" t="s">
        <v>180</v>
      </c>
      <c r="O22" s="20">
        <f t="shared" si="7"/>
        <v>6000</v>
      </c>
    </row>
    <row r="23" spans="1:15" ht="16" x14ac:dyDescent="0.2">
      <c r="A23" s="17">
        <v>17</v>
      </c>
      <c r="B23" s="17" t="s">
        <v>204</v>
      </c>
      <c r="C23" s="17" t="s">
        <v>212</v>
      </c>
      <c r="D23" s="17" t="s">
        <v>76</v>
      </c>
      <c r="E23" s="18">
        <v>1</v>
      </c>
      <c r="F23" s="19">
        <v>8000</v>
      </c>
      <c r="G23" s="20">
        <f t="shared" si="4"/>
        <v>8000</v>
      </c>
      <c r="H23" s="19">
        <v>20000</v>
      </c>
      <c r="I23" s="20">
        <f t="shared" si="5"/>
        <v>20000</v>
      </c>
      <c r="J23" s="19">
        <v>50000</v>
      </c>
      <c r="K23" s="20">
        <f t="shared" si="6"/>
        <v>50000</v>
      </c>
      <c r="L23" s="17"/>
      <c r="M23" s="21" t="s">
        <v>201</v>
      </c>
      <c r="N23" s="18" t="s">
        <v>180</v>
      </c>
      <c r="O23" s="20">
        <f t="shared" si="7"/>
        <v>8000</v>
      </c>
    </row>
    <row r="24" spans="1:15" ht="32" x14ac:dyDescent="0.2">
      <c r="A24" s="17">
        <v>18</v>
      </c>
      <c r="B24" s="17" t="s">
        <v>204</v>
      </c>
      <c r="C24" s="17" t="s">
        <v>213</v>
      </c>
      <c r="D24" s="17" t="s">
        <v>66</v>
      </c>
      <c r="E24" s="18">
        <v>1</v>
      </c>
      <c r="F24" s="19">
        <v>5000</v>
      </c>
      <c r="G24" s="20">
        <f t="shared" si="4"/>
        <v>5000</v>
      </c>
      <c r="H24" s="19">
        <v>15000</v>
      </c>
      <c r="I24" s="20">
        <f t="shared" si="5"/>
        <v>15000</v>
      </c>
      <c r="J24" s="19">
        <v>40000</v>
      </c>
      <c r="K24" s="20">
        <f t="shared" si="6"/>
        <v>40000</v>
      </c>
      <c r="L24" s="17" t="s">
        <v>214</v>
      </c>
      <c r="M24" s="21" t="s">
        <v>201</v>
      </c>
      <c r="N24" s="18" t="s">
        <v>180</v>
      </c>
      <c r="O24" s="20">
        <f t="shared" si="7"/>
        <v>5000</v>
      </c>
    </row>
    <row r="25" spans="1:15" ht="32" x14ac:dyDescent="0.2">
      <c r="A25" s="17">
        <v>19</v>
      </c>
      <c r="B25" s="17" t="s">
        <v>204</v>
      </c>
      <c r="C25" s="17" t="s">
        <v>215</v>
      </c>
      <c r="D25" s="17" t="s">
        <v>66</v>
      </c>
      <c r="E25" s="18">
        <v>1</v>
      </c>
      <c r="F25" s="19">
        <v>5000</v>
      </c>
      <c r="G25" s="20">
        <f t="shared" si="4"/>
        <v>5000</v>
      </c>
      <c r="H25" s="19">
        <v>12000</v>
      </c>
      <c r="I25" s="20">
        <f t="shared" si="5"/>
        <v>12000</v>
      </c>
      <c r="J25" s="19">
        <v>30000</v>
      </c>
      <c r="K25" s="20">
        <f t="shared" si="6"/>
        <v>30000</v>
      </c>
      <c r="L25" s="17"/>
      <c r="M25" s="21" t="s">
        <v>201</v>
      </c>
      <c r="N25" s="18" t="s">
        <v>180</v>
      </c>
      <c r="O25" s="20">
        <f t="shared" si="7"/>
        <v>5000</v>
      </c>
    </row>
    <row r="26" spans="1:15" ht="32" x14ac:dyDescent="0.2">
      <c r="A26" s="17">
        <v>20</v>
      </c>
      <c r="B26" s="17" t="s">
        <v>204</v>
      </c>
      <c r="C26" s="17" t="s">
        <v>216</v>
      </c>
      <c r="D26" s="17" t="s">
        <v>66</v>
      </c>
      <c r="E26" s="18">
        <v>1</v>
      </c>
      <c r="F26" s="19">
        <v>2000</v>
      </c>
      <c r="G26" s="20">
        <f t="shared" si="4"/>
        <v>2000</v>
      </c>
      <c r="H26" s="19">
        <v>8000</v>
      </c>
      <c r="I26" s="20">
        <f t="shared" si="5"/>
        <v>8000</v>
      </c>
      <c r="J26" s="19">
        <v>25000</v>
      </c>
      <c r="K26" s="20">
        <f t="shared" si="6"/>
        <v>25000</v>
      </c>
      <c r="L26" s="17"/>
      <c r="M26" s="21" t="s">
        <v>186</v>
      </c>
      <c r="N26" s="18" t="s">
        <v>180</v>
      </c>
      <c r="O26" s="20">
        <f t="shared" si="7"/>
        <v>2000</v>
      </c>
    </row>
    <row r="27" spans="1:15" x14ac:dyDescent="0.2">
      <c r="A27" s="15" t="s">
        <v>217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ht="48" x14ac:dyDescent="0.2">
      <c r="A28" s="17">
        <v>21</v>
      </c>
      <c r="B28" s="17" t="s">
        <v>218</v>
      </c>
      <c r="C28" s="17" t="s">
        <v>219</v>
      </c>
      <c r="D28" s="17" t="s">
        <v>76</v>
      </c>
      <c r="E28" s="18">
        <v>1</v>
      </c>
      <c r="F28" s="19">
        <v>12000</v>
      </c>
      <c r="G28" s="20">
        <f t="shared" ref="G28:G36" si="8">E28*F28</f>
        <v>12000</v>
      </c>
      <c r="H28" s="19">
        <v>35000</v>
      </c>
      <c r="I28" s="20">
        <f t="shared" ref="I28:I36" si="9">E28*H28</f>
        <v>35000</v>
      </c>
      <c r="J28" s="19">
        <v>90000</v>
      </c>
      <c r="K28" s="20">
        <f t="shared" ref="K28:K36" si="10">E28*J28</f>
        <v>90000</v>
      </c>
      <c r="L28" s="17" t="s">
        <v>220</v>
      </c>
      <c r="M28" s="21" t="s">
        <v>201</v>
      </c>
      <c r="N28" s="18" t="s">
        <v>57</v>
      </c>
      <c r="O28" s="20">
        <f t="shared" ref="O28:O36" si="11">IF(N28="МИН",G28,IF(N28="МАКС",K28,I28))</f>
        <v>35000</v>
      </c>
    </row>
    <row r="29" spans="1:15" ht="16" x14ac:dyDescent="0.2">
      <c r="A29" s="17">
        <v>22</v>
      </c>
      <c r="B29" s="17" t="s">
        <v>218</v>
      </c>
      <c r="C29" s="17" t="s">
        <v>221</v>
      </c>
      <c r="D29" s="17" t="s">
        <v>76</v>
      </c>
      <c r="E29" s="18">
        <v>1</v>
      </c>
      <c r="F29" s="19">
        <v>7000</v>
      </c>
      <c r="G29" s="20">
        <f t="shared" si="8"/>
        <v>7000</v>
      </c>
      <c r="H29" s="19">
        <v>18000</v>
      </c>
      <c r="I29" s="20">
        <f t="shared" si="9"/>
        <v>18000</v>
      </c>
      <c r="J29" s="19">
        <v>45000</v>
      </c>
      <c r="K29" s="20">
        <f t="shared" si="10"/>
        <v>45000</v>
      </c>
      <c r="L29" s="17" t="s">
        <v>222</v>
      </c>
      <c r="M29" s="21" t="s">
        <v>201</v>
      </c>
      <c r="N29" s="18" t="s">
        <v>57</v>
      </c>
      <c r="O29" s="20">
        <f t="shared" si="11"/>
        <v>18000</v>
      </c>
    </row>
    <row r="30" spans="1:15" ht="32" x14ac:dyDescent="0.2">
      <c r="A30" s="17">
        <v>23</v>
      </c>
      <c r="B30" s="17" t="s">
        <v>218</v>
      </c>
      <c r="C30" s="17" t="s">
        <v>223</v>
      </c>
      <c r="D30" s="17" t="s">
        <v>66</v>
      </c>
      <c r="E30" s="18">
        <v>1</v>
      </c>
      <c r="F30" s="19">
        <v>8000</v>
      </c>
      <c r="G30" s="20">
        <f t="shared" si="8"/>
        <v>8000</v>
      </c>
      <c r="H30" s="19">
        <v>25000</v>
      </c>
      <c r="I30" s="20">
        <f t="shared" si="9"/>
        <v>25000</v>
      </c>
      <c r="J30" s="19">
        <v>60000</v>
      </c>
      <c r="K30" s="20">
        <f t="shared" si="10"/>
        <v>60000</v>
      </c>
      <c r="L30" s="17" t="s">
        <v>224</v>
      </c>
      <c r="M30" s="21" t="s">
        <v>201</v>
      </c>
      <c r="N30" s="18" t="s">
        <v>57</v>
      </c>
      <c r="O30" s="20">
        <f t="shared" si="11"/>
        <v>25000</v>
      </c>
    </row>
    <row r="31" spans="1:15" ht="16" x14ac:dyDescent="0.2">
      <c r="A31" s="17">
        <v>24</v>
      </c>
      <c r="B31" s="17" t="s">
        <v>218</v>
      </c>
      <c r="C31" s="17" t="s">
        <v>225</v>
      </c>
      <c r="D31" s="17" t="s">
        <v>76</v>
      </c>
      <c r="E31" s="18">
        <v>1</v>
      </c>
      <c r="F31" s="19">
        <v>15000</v>
      </c>
      <c r="G31" s="20">
        <f t="shared" si="8"/>
        <v>15000</v>
      </c>
      <c r="H31" s="19">
        <v>40000</v>
      </c>
      <c r="I31" s="20">
        <f t="shared" si="9"/>
        <v>40000</v>
      </c>
      <c r="J31" s="19">
        <v>120000</v>
      </c>
      <c r="K31" s="20">
        <f t="shared" si="10"/>
        <v>120000</v>
      </c>
      <c r="L31" s="17"/>
      <c r="M31" s="21" t="s">
        <v>201</v>
      </c>
      <c r="N31" s="18" t="s">
        <v>180</v>
      </c>
      <c r="O31" s="20">
        <f t="shared" si="11"/>
        <v>15000</v>
      </c>
    </row>
    <row r="32" spans="1:15" ht="16" x14ac:dyDescent="0.2">
      <c r="A32" s="17">
        <v>25</v>
      </c>
      <c r="B32" s="17" t="s">
        <v>218</v>
      </c>
      <c r="C32" s="17" t="s">
        <v>226</v>
      </c>
      <c r="D32" s="17" t="s">
        <v>76</v>
      </c>
      <c r="E32" s="18">
        <v>1</v>
      </c>
      <c r="F32" s="19">
        <v>5000</v>
      </c>
      <c r="G32" s="20">
        <f t="shared" si="8"/>
        <v>5000</v>
      </c>
      <c r="H32" s="19">
        <v>15000</v>
      </c>
      <c r="I32" s="20">
        <f t="shared" si="9"/>
        <v>15000</v>
      </c>
      <c r="J32" s="19">
        <v>40000</v>
      </c>
      <c r="K32" s="20">
        <f t="shared" si="10"/>
        <v>40000</v>
      </c>
      <c r="L32" s="17"/>
      <c r="M32" s="21" t="s">
        <v>201</v>
      </c>
      <c r="N32" s="18" t="s">
        <v>180</v>
      </c>
      <c r="O32" s="20">
        <f t="shared" si="11"/>
        <v>5000</v>
      </c>
    </row>
    <row r="33" spans="1:15" ht="32" x14ac:dyDescent="0.2">
      <c r="A33" s="17">
        <v>26</v>
      </c>
      <c r="B33" s="17" t="s">
        <v>218</v>
      </c>
      <c r="C33" s="17" t="s">
        <v>213</v>
      </c>
      <c r="D33" s="17" t="s">
        <v>66</v>
      </c>
      <c r="E33" s="18">
        <v>1</v>
      </c>
      <c r="F33" s="19">
        <v>4000</v>
      </c>
      <c r="G33" s="20">
        <f t="shared" si="8"/>
        <v>4000</v>
      </c>
      <c r="H33" s="19">
        <v>12000</v>
      </c>
      <c r="I33" s="20">
        <f t="shared" si="9"/>
        <v>12000</v>
      </c>
      <c r="J33" s="19">
        <v>30000</v>
      </c>
      <c r="K33" s="20">
        <f t="shared" si="10"/>
        <v>30000</v>
      </c>
      <c r="L33" s="17"/>
      <c r="M33" s="21" t="s">
        <v>201</v>
      </c>
      <c r="N33" s="18" t="s">
        <v>180</v>
      </c>
      <c r="O33" s="20">
        <f t="shared" si="11"/>
        <v>4000</v>
      </c>
    </row>
    <row r="34" spans="1:15" ht="16" x14ac:dyDescent="0.2">
      <c r="A34" s="17">
        <v>27</v>
      </c>
      <c r="B34" s="17" t="s">
        <v>218</v>
      </c>
      <c r="C34" s="17" t="s">
        <v>227</v>
      </c>
      <c r="D34" s="17" t="s">
        <v>76</v>
      </c>
      <c r="E34" s="18">
        <v>1</v>
      </c>
      <c r="F34" s="19">
        <v>3000</v>
      </c>
      <c r="G34" s="20">
        <f t="shared" si="8"/>
        <v>3000</v>
      </c>
      <c r="H34" s="19">
        <v>10000</v>
      </c>
      <c r="I34" s="20">
        <f t="shared" si="9"/>
        <v>10000</v>
      </c>
      <c r="J34" s="19">
        <v>30000</v>
      </c>
      <c r="K34" s="20">
        <f t="shared" si="10"/>
        <v>30000</v>
      </c>
      <c r="L34" s="17"/>
      <c r="M34" s="21" t="s">
        <v>201</v>
      </c>
      <c r="N34" s="18" t="s">
        <v>180</v>
      </c>
      <c r="O34" s="20">
        <f t="shared" si="11"/>
        <v>3000</v>
      </c>
    </row>
    <row r="35" spans="1:15" ht="32" x14ac:dyDescent="0.2">
      <c r="A35" s="17">
        <v>28</v>
      </c>
      <c r="B35" s="17" t="s">
        <v>218</v>
      </c>
      <c r="C35" s="17" t="s">
        <v>228</v>
      </c>
      <c r="D35" s="17" t="s">
        <v>66</v>
      </c>
      <c r="E35" s="18">
        <v>1</v>
      </c>
      <c r="F35" s="19">
        <v>3000</v>
      </c>
      <c r="G35" s="20">
        <f t="shared" si="8"/>
        <v>3000</v>
      </c>
      <c r="H35" s="19">
        <v>8000</v>
      </c>
      <c r="I35" s="20">
        <f t="shared" si="9"/>
        <v>8000</v>
      </c>
      <c r="J35" s="19">
        <v>20000</v>
      </c>
      <c r="K35" s="20">
        <f t="shared" si="10"/>
        <v>20000</v>
      </c>
      <c r="L35" s="17"/>
      <c r="M35" s="21" t="s">
        <v>201</v>
      </c>
      <c r="N35" s="18" t="s">
        <v>180</v>
      </c>
      <c r="O35" s="20">
        <f t="shared" si="11"/>
        <v>3000</v>
      </c>
    </row>
    <row r="36" spans="1:15" ht="32" x14ac:dyDescent="0.2">
      <c r="A36" s="17">
        <v>29</v>
      </c>
      <c r="B36" s="17" t="s">
        <v>218</v>
      </c>
      <c r="C36" s="17" t="s">
        <v>229</v>
      </c>
      <c r="D36" s="17" t="s">
        <v>66</v>
      </c>
      <c r="E36" s="18">
        <v>1</v>
      </c>
      <c r="F36" s="19">
        <v>2000</v>
      </c>
      <c r="G36" s="20">
        <f t="shared" si="8"/>
        <v>2000</v>
      </c>
      <c r="H36" s="19">
        <v>6000</v>
      </c>
      <c r="I36" s="20">
        <f t="shared" si="9"/>
        <v>6000</v>
      </c>
      <c r="J36" s="19">
        <v>15000</v>
      </c>
      <c r="K36" s="20">
        <f t="shared" si="10"/>
        <v>15000</v>
      </c>
      <c r="L36" s="17"/>
      <c r="M36" s="21" t="s">
        <v>186</v>
      </c>
      <c r="N36" s="18" t="s">
        <v>180</v>
      </c>
      <c r="O36" s="20">
        <f t="shared" si="11"/>
        <v>2000</v>
      </c>
    </row>
    <row r="37" spans="1:15" x14ac:dyDescent="0.2">
      <c r="A37" s="15" t="s">
        <v>230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ht="32" x14ac:dyDescent="0.2">
      <c r="A38" s="17">
        <v>30</v>
      </c>
      <c r="B38" s="17" t="s">
        <v>231</v>
      </c>
      <c r="C38" s="17" t="s">
        <v>232</v>
      </c>
      <c r="D38" s="17" t="s">
        <v>76</v>
      </c>
      <c r="E38" s="18">
        <v>1</v>
      </c>
      <c r="F38" s="19">
        <v>25000</v>
      </c>
      <c r="G38" s="20">
        <f t="shared" ref="G38:G46" si="12">E38*F38</f>
        <v>25000</v>
      </c>
      <c r="H38" s="19">
        <v>70000</v>
      </c>
      <c r="I38" s="20">
        <f t="shared" ref="I38:I46" si="13">E38*H38</f>
        <v>70000</v>
      </c>
      <c r="J38" s="19">
        <v>200000</v>
      </c>
      <c r="K38" s="20">
        <f t="shared" ref="K38:K46" si="14">E38*J38</f>
        <v>200000</v>
      </c>
      <c r="L38" s="17" t="s">
        <v>233</v>
      </c>
      <c r="M38" s="21" t="s">
        <v>234</v>
      </c>
      <c r="N38" s="18" t="s">
        <v>57</v>
      </c>
      <c r="O38" s="20">
        <f t="shared" ref="O38:O46" si="15">IF(N38="МИН",G38,IF(N38="МАКС",K38,I38))</f>
        <v>70000</v>
      </c>
    </row>
    <row r="39" spans="1:15" ht="42" x14ac:dyDescent="0.2">
      <c r="A39" s="17">
        <v>31</v>
      </c>
      <c r="B39" s="17" t="s">
        <v>231</v>
      </c>
      <c r="C39" s="17" t="s">
        <v>235</v>
      </c>
      <c r="D39" s="17" t="s">
        <v>76</v>
      </c>
      <c r="E39" s="18">
        <v>1</v>
      </c>
      <c r="F39" s="19">
        <v>25000</v>
      </c>
      <c r="G39" s="20">
        <f t="shared" si="12"/>
        <v>25000</v>
      </c>
      <c r="H39" s="19">
        <v>55000</v>
      </c>
      <c r="I39" s="20">
        <f t="shared" si="13"/>
        <v>55000</v>
      </c>
      <c r="J39" s="19">
        <v>150000</v>
      </c>
      <c r="K39" s="20">
        <f t="shared" si="14"/>
        <v>150000</v>
      </c>
      <c r="L39" s="17" t="s">
        <v>236</v>
      </c>
      <c r="M39" s="21" t="s">
        <v>237</v>
      </c>
      <c r="N39" s="18" t="s">
        <v>57</v>
      </c>
      <c r="O39" s="20">
        <f t="shared" si="15"/>
        <v>55000</v>
      </c>
    </row>
    <row r="40" spans="1:15" ht="32" x14ac:dyDescent="0.2">
      <c r="A40" s="17">
        <v>32</v>
      </c>
      <c r="B40" s="17" t="s">
        <v>231</v>
      </c>
      <c r="C40" s="17" t="s">
        <v>238</v>
      </c>
      <c r="D40" s="17" t="s">
        <v>66</v>
      </c>
      <c r="E40" s="18">
        <v>1</v>
      </c>
      <c r="F40" s="19">
        <v>3000</v>
      </c>
      <c r="G40" s="20">
        <f t="shared" si="12"/>
        <v>3000</v>
      </c>
      <c r="H40" s="19">
        <v>15000</v>
      </c>
      <c r="I40" s="20">
        <f t="shared" si="13"/>
        <v>15000</v>
      </c>
      <c r="J40" s="19">
        <v>50000</v>
      </c>
      <c r="K40" s="20">
        <f t="shared" si="14"/>
        <v>50000</v>
      </c>
      <c r="L40" s="17" t="s">
        <v>239</v>
      </c>
      <c r="M40" s="21" t="s">
        <v>201</v>
      </c>
      <c r="N40" s="18" t="s">
        <v>180</v>
      </c>
      <c r="O40" s="20">
        <f t="shared" si="15"/>
        <v>3000</v>
      </c>
    </row>
    <row r="41" spans="1:15" ht="16" x14ac:dyDescent="0.2">
      <c r="A41" s="17">
        <v>33</v>
      </c>
      <c r="B41" s="17" t="s">
        <v>231</v>
      </c>
      <c r="C41" s="17" t="s">
        <v>240</v>
      </c>
      <c r="D41" s="17" t="s">
        <v>76</v>
      </c>
      <c r="E41" s="18">
        <v>1</v>
      </c>
      <c r="F41" s="19">
        <v>3000</v>
      </c>
      <c r="G41" s="20">
        <f t="shared" si="12"/>
        <v>3000</v>
      </c>
      <c r="H41" s="19">
        <v>12000</v>
      </c>
      <c r="I41" s="20">
        <f t="shared" si="13"/>
        <v>12000</v>
      </c>
      <c r="J41" s="19">
        <v>40000</v>
      </c>
      <c r="K41" s="20">
        <f t="shared" si="14"/>
        <v>40000</v>
      </c>
      <c r="L41" s="17"/>
      <c r="M41" s="21" t="s">
        <v>201</v>
      </c>
      <c r="N41" s="18" t="s">
        <v>180</v>
      </c>
      <c r="O41" s="20">
        <f t="shared" si="15"/>
        <v>3000</v>
      </c>
    </row>
    <row r="42" spans="1:15" ht="16" x14ac:dyDescent="0.2">
      <c r="A42" s="17">
        <v>34</v>
      </c>
      <c r="B42" s="17" t="s">
        <v>231</v>
      </c>
      <c r="C42" s="17" t="s">
        <v>241</v>
      </c>
      <c r="D42" s="17" t="s">
        <v>76</v>
      </c>
      <c r="E42" s="18">
        <v>1</v>
      </c>
      <c r="F42" s="19">
        <v>10000</v>
      </c>
      <c r="G42" s="20">
        <f t="shared" si="12"/>
        <v>10000</v>
      </c>
      <c r="H42" s="19">
        <v>35000</v>
      </c>
      <c r="I42" s="20">
        <f t="shared" si="13"/>
        <v>35000</v>
      </c>
      <c r="J42" s="19">
        <v>120000</v>
      </c>
      <c r="K42" s="20">
        <f t="shared" si="14"/>
        <v>120000</v>
      </c>
      <c r="L42" s="17"/>
      <c r="M42" s="21" t="s">
        <v>201</v>
      </c>
      <c r="N42" s="18" t="s">
        <v>180</v>
      </c>
      <c r="O42" s="20">
        <f t="shared" si="15"/>
        <v>10000</v>
      </c>
    </row>
    <row r="43" spans="1:15" ht="16" x14ac:dyDescent="0.2">
      <c r="A43" s="17">
        <v>35</v>
      </c>
      <c r="B43" s="17" t="s">
        <v>231</v>
      </c>
      <c r="C43" s="17" t="s">
        <v>242</v>
      </c>
      <c r="D43" s="17" t="s">
        <v>76</v>
      </c>
      <c r="E43" s="18">
        <v>1</v>
      </c>
      <c r="F43" s="19">
        <v>0</v>
      </c>
      <c r="G43" s="20">
        <f t="shared" si="12"/>
        <v>0</v>
      </c>
      <c r="H43" s="19">
        <v>20000</v>
      </c>
      <c r="I43" s="20">
        <f t="shared" si="13"/>
        <v>20000</v>
      </c>
      <c r="J43" s="19">
        <v>60000</v>
      </c>
      <c r="K43" s="20">
        <f t="shared" si="14"/>
        <v>60000</v>
      </c>
      <c r="L43" s="17" t="s">
        <v>197</v>
      </c>
      <c r="M43" s="21" t="s">
        <v>201</v>
      </c>
      <c r="N43" s="18" t="s">
        <v>180</v>
      </c>
      <c r="O43" s="20">
        <f t="shared" si="15"/>
        <v>0</v>
      </c>
    </row>
    <row r="44" spans="1:15" ht="16" x14ac:dyDescent="0.2">
      <c r="A44" s="17">
        <v>36</v>
      </c>
      <c r="B44" s="17" t="s">
        <v>231</v>
      </c>
      <c r="C44" s="17" t="s">
        <v>227</v>
      </c>
      <c r="D44" s="17" t="s">
        <v>76</v>
      </c>
      <c r="E44" s="18">
        <v>1</v>
      </c>
      <c r="F44" s="19">
        <v>5000</v>
      </c>
      <c r="G44" s="20">
        <f t="shared" si="12"/>
        <v>5000</v>
      </c>
      <c r="H44" s="19">
        <v>15000</v>
      </c>
      <c r="I44" s="20">
        <f t="shared" si="13"/>
        <v>15000</v>
      </c>
      <c r="J44" s="19">
        <v>50000</v>
      </c>
      <c r="K44" s="20">
        <f t="shared" si="14"/>
        <v>50000</v>
      </c>
      <c r="L44" s="17"/>
      <c r="M44" s="21" t="s">
        <v>201</v>
      </c>
      <c r="N44" s="18" t="s">
        <v>180</v>
      </c>
      <c r="O44" s="20">
        <f t="shared" si="15"/>
        <v>5000</v>
      </c>
    </row>
    <row r="45" spans="1:15" ht="32" x14ac:dyDescent="0.2">
      <c r="A45" s="17">
        <v>37</v>
      </c>
      <c r="B45" s="17" t="s">
        <v>231</v>
      </c>
      <c r="C45" s="17" t="s">
        <v>213</v>
      </c>
      <c r="D45" s="17" t="s">
        <v>66</v>
      </c>
      <c r="E45" s="18">
        <v>1</v>
      </c>
      <c r="F45" s="19">
        <v>6000</v>
      </c>
      <c r="G45" s="20">
        <f t="shared" si="12"/>
        <v>6000</v>
      </c>
      <c r="H45" s="19">
        <v>18000</v>
      </c>
      <c r="I45" s="20">
        <f t="shared" si="13"/>
        <v>18000</v>
      </c>
      <c r="J45" s="19">
        <v>50000</v>
      </c>
      <c r="K45" s="20">
        <f t="shared" si="14"/>
        <v>50000</v>
      </c>
      <c r="L45" s="17"/>
      <c r="M45" s="21" t="s">
        <v>201</v>
      </c>
      <c r="N45" s="18" t="s">
        <v>180</v>
      </c>
      <c r="O45" s="20">
        <f t="shared" si="15"/>
        <v>6000</v>
      </c>
    </row>
    <row r="46" spans="1:15" ht="32" x14ac:dyDescent="0.2">
      <c r="A46" s="17">
        <v>38</v>
      </c>
      <c r="B46" s="17" t="s">
        <v>231</v>
      </c>
      <c r="C46" s="17" t="s">
        <v>243</v>
      </c>
      <c r="D46" s="17" t="s">
        <v>66</v>
      </c>
      <c r="E46" s="18">
        <v>1</v>
      </c>
      <c r="F46" s="19">
        <v>2000</v>
      </c>
      <c r="G46" s="20">
        <f t="shared" si="12"/>
        <v>2000</v>
      </c>
      <c r="H46" s="19">
        <v>8000</v>
      </c>
      <c r="I46" s="20">
        <f t="shared" si="13"/>
        <v>8000</v>
      </c>
      <c r="J46" s="19">
        <v>25000</v>
      </c>
      <c r="K46" s="20">
        <f t="shared" si="14"/>
        <v>25000</v>
      </c>
      <c r="L46" s="17"/>
      <c r="M46" s="21" t="s">
        <v>186</v>
      </c>
      <c r="N46" s="18" t="s">
        <v>180</v>
      </c>
      <c r="O46" s="20">
        <f t="shared" si="15"/>
        <v>2000</v>
      </c>
    </row>
    <row r="47" spans="1:15" x14ac:dyDescent="0.2">
      <c r="A47" s="15" t="s">
        <v>244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1:15" ht="32" x14ac:dyDescent="0.2">
      <c r="A48" s="17">
        <v>39</v>
      </c>
      <c r="B48" s="17" t="s">
        <v>245</v>
      </c>
      <c r="C48" s="17" t="s">
        <v>246</v>
      </c>
      <c r="D48" s="17" t="s">
        <v>66</v>
      </c>
      <c r="E48" s="18">
        <v>1</v>
      </c>
      <c r="F48" s="19">
        <v>8000</v>
      </c>
      <c r="G48" s="20">
        <f t="shared" ref="G48:G54" si="16">E48*F48</f>
        <v>8000</v>
      </c>
      <c r="H48" s="19">
        <v>30000</v>
      </c>
      <c r="I48" s="20">
        <f t="shared" ref="I48:I54" si="17">E48*H48</f>
        <v>30000</v>
      </c>
      <c r="J48" s="19">
        <v>90000</v>
      </c>
      <c r="K48" s="20">
        <f t="shared" ref="K48:K54" si="18">E48*J48</f>
        <v>90000</v>
      </c>
      <c r="L48" s="17" t="s">
        <v>247</v>
      </c>
      <c r="M48" s="21" t="s">
        <v>201</v>
      </c>
      <c r="N48" s="18" t="s">
        <v>180</v>
      </c>
      <c r="O48" s="20">
        <f t="shared" ref="O48:O54" si="19">IF(N48="МИН",G48,IF(N48="МАКС",K48,I48))</f>
        <v>8000</v>
      </c>
    </row>
    <row r="49" spans="1:15" ht="16" x14ac:dyDescent="0.2">
      <c r="A49" s="17">
        <v>40</v>
      </c>
      <c r="B49" s="17" t="s">
        <v>245</v>
      </c>
      <c r="C49" s="17" t="s">
        <v>248</v>
      </c>
      <c r="D49" s="17" t="s">
        <v>76</v>
      </c>
      <c r="E49" s="18">
        <v>1</v>
      </c>
      <c r="F49" s="19">
        <v>1500</v>
      </c>
      <c r="G49" s="20">
        <f t="shared" si="16"/>
        <v>1500</v>
      </c>
      <c r="H49" s="19">
        <v>5000</v>
      </c>
      <c r="I49" s="20">
        <f t="shared" si="17"/>
        <v>5000</v>
      </c>
      <c r="J49" s="19">
        <v>15000</v>
      </c>
      <c r="K49" s="20">
        <f t="shared" si="18"/>
        <v>15000</v>
      </c>
      <c r="L49" s="17"/>
      <c r="M49" s="21" t="s">
        <v>201</v>
      </c>
      <c r="N49" s="18" t="s">
        <v>180</v>
      </c>
      <c r="O49" s="20">
        <f t="shared" si="19"/>
        <v>1500</v>
      </c>
    </row>
    <row r="50" spans="1:15" ht="16" x14ac:dyDescent="0.2">
      <c r="A50" s="17">
        <v>41</v>
      </c>
      <c r="B50" s="17" t="s">
        <v>249</v>
      </c>
      <c r="C50" s="17" t="s">
        <v>250</v>
      </c>
      <c r="D50" s="17" t="s">
        <v>76</v>
      </c>
      <c r="E50" s="18">
        <v>1</v>
      </c>
      <c r="F50" s="19">
        <v>25000</v>
      </c>
      <c r="G50" s="20">
        <f t="shared" si="16"/>
        <v>25000</v>
      </c>
      <c r="H50" s="19">
        <v>45000</v>
      </c>
      <c r="I50" s="20">
        <f t="shared" si="17"/>
        <v>45000</v>
      </c>
      <c r="J50" s="19">
        <v>100000</v>
      </c>
      <c r="K50" s="20">
        <f t="shared" si="18"/>
        <v>100000</v>
      </c>
      <c r="L50" s="17" t="s">
        <v>251</v>
      </c>
      <c r="M50" s="21" t="s">
        <v>191</v>
      </c>
      <c r="N50" s="18" t="s">
        <v>57</v>
      </c>
      <c r="O50" s="20">
        <f t="shared" si="19"/>
        <v>45000</v>
      </c>
    </row>
    <row r="51" spans="1:15" ht="16" x14ac:dyDescent="0.2">
      <c r="A51" s="17">
        <v>42</v>
      </c>
      <c r="B51" s="17" t="s">
        <v>249</v>
      </c>
      <c r="C51" s="17" t="s">
        <v>252</v>
      </c>
      <c r="D51" s="17" t="s">
        <v>76</v>
      </c>
      <c r="E51" s="18">
        <v>1</v>
      </c>
      <c r="F51" s="19">
        <v>8000</v>
      </c>
      <c r="G51" s="20">
        <f t="shared" si="16"/>
        <v>8000</v>
      </c>
      <c r="H51" s="19">
        <v>25000</v>
      </c>
      <c r="I51" s="20">
        <f t="shared" si="17"/>
        <v>25000</v>
      </c>
      <c r="J51" s="19">
        <v>60000</v>
      </c>
      <c r="K51" s="20">
        <f t="shared" si="18"/>
        <v>60000</v>
      </c>
      <c r="L51" s="17" t="s">
        <v>253</v>
      </c>
      <c r="M51" s="21" t="s">
        <v>191</v>
      </c>
      <c r="N51" s="18" t="s">
        <v>180</v>
      </c>
      <c r="O51" s="20">
        <f t="shared" si="19"/>
        <v>8000</v>
      </c>
    </row>
    <row r="52" spans="1:15" ht="32" x14ac:dyDescent="0.2">
      <c r="A52" s="17">
        <v>43</v>
      </c>
      <c r="B52" s="17" t="s">
        <v>249</v>
      </c>
      <c r="C52" s="17" t="s">
        <v>254</v>
      </c>
      <c r="D52" s="17" t="s">
        <v>66</v>
      </c>
      <c r="E52" s="18">
        <v>1</v>
      </c>
      <c r="F52" s="19">
        <v>3000</v>
      </c>
      <c r="G52" s="20">
        <f t="shared" si="16"/>
        <v>3000</v>
      </c>
      <c r="H52" s="19">
        <v>6000</v>
      </c>
      <c r="I52" s="20">
        <f t="shared" si="17"/>
        <v>6000</v>
      </c>
      <c r="J52" s="19">
        <v>12000</v>
      </c>
      <c r="K52" s="20">
        <f t="shared" si="18"/>
        <v>12000</v>
      </c>
      <c r="L52" s="17"/>
      <c r="M52" s="21" t="s">
        <v>191</v>
      </c>
      <c r="N52" s="18" t="s">
        <v>180</v>
      </c>
      <c r="O52" s="20">
        <f t="shared" si="19"/>
        <v>3000</v>
      </c>
    </row>
    <row r="53" spans="1:15" ht="32" x14ac:dyDescent="0.2">
      <c r="A53" s="17">
        <v>44</v>
      </c>
      <c r="B53" s="17" t="s">
        <v>249</v>
      </c>
      <c r="C53" s="17" t="s">
        <v>255</v>
      </c>
      <c r="D53" s="17" t="s">
        <v>66</v>
      </c>
      <c r="E53" s="18">
        <v>1</v>
      </c>
      <c r="F53" s="19">
        <v>3000</v>
      </c>
      <c r="G53" s="20">
        <f t="shared" si="16"/>
        <v>3000</v>
      </c>
      <c r="H53" s="19">
        <v>8000</v>
      </c>
      <c r="I53" s="20">
        <f t="shared" si="17"/>
        <v>8000</v>
      </c>
      <c r="J53" s="19">
        <v>20000</v>
      </c>
      <c r="K53" s="20">
        <f t="shared" si="18"/>
        <v>20000</v>
      </c>
      <c r="L53" s="17"/>
      <c r="M53" s="21" t="s">
        <v>201</v>
      </c>
      <c r="N53" s="18" t="s">
        <v>180</v>
      </c>
      <c r="O53" s="20">
        <f t="shared" si="19"/>
        <v>3000</v>
      </c>
    </row>
    <row r="54" spans="1:15" ht="32" x14ac:dyDescent="0.2">
      <c r="A54" s="17">
        <v>45</v>
      </c>
      <c r="B54" s="17" t="s">
        <v>249</v>
      </c>
      <c r="C54" s="17" t="s">
        <v>256</v>
      </c>
      <c r="D54" s="17" t="s">
        <v>66</v>
      </c>
      <c r="E54" s="18">
        <v>1</v>
      </c>
      <c r="F54" s="19">
        <v>5000</v>
      </c>
      <c r="G54" s="20">
        <f t="shared" si="16"/>
        <v>5000</v>
      </c>
      <c r="H54" s="19">
        <v>10000</v>
      </c>
      <c r="I54" s="20">
        <f t="shared" si="17"/>
        <v>10000</v>
      </c>
      <c r="J54" s="19">
        <v>25000</v>
      </c>
      <c r="K54" s="20">
        <f t="shared" si="18"/>
        <v>25000</v>
      </c>
      <c r="L54" s="17"/>
      <c r="M54" s="21" t="s">
        <v>191</v>
      </c>
      <c r="N54" s="18" t="s">
        <v>180</v>
      </c>
      <c r="O54" s="20">
        <f t="shared" si="19"/>
        <v>5000</v>
      </c>
    </row>
    <row r="55" spans="1:15" x14ac:dyDescent="0.2">
      <c r="A55" s="15" t="s">
        <v>257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1:15" ht="32" x14ac:dyDescent="0.2">
      <c r="A56" s="17">
        <v>46</v>
      </c>
      <c r="B56" s="17" t="s">
        <v>258</v>
      </c>
      <c r="C56" s="17" t="s">
        <v>259</v>
      </c>
      <c r="D56" s="17" t="s">
        <v>66</v>
      </c>
      <c r="E56" s="18">
        <v>1</v>
      </c>
      <c r="F56" s="19">
        <v>8000</v>
      </c>
      <c r="G56" s="20">
        <f>E56*F56</f>
        <v>8000</v>
      </c>
      <c r="H56" s="19">
        <v>25000</v>
      </c>
      <c r="I56" s="20">
        <f>E56*H56</f>
        <v>25000</v>
      </c>
      <c r="J56" s="19">
        <v>50000</v>
      </c>
      <c r="K56" s="20">
        <f>E56*J56</f>
        <v>50000</v>
      </c>
      <c r="L56" s="17" t="s">
        <v>260</v>
      </c>
      <c r="M56" s="17"/>
      <c r="N56" s="18" t="s">
        <v>57</v>
      </c>
      <c r="O56" s="20">
        <f>IF(N56="МИН",G56,IF(N56="МАКС",K56,I56))</f>
        <v>25000</v>
      </c>
    </row>
    <row r="57" spans="1:15" ht="32" x14ac:dyDescent="0.2">
      <c r="A57" s="17">
        <v>47</v>
      </c>
      <c r="B57" s="17" t="s">
        <v>258</v>
      </c>
      <c r="C57" s="17" t="s">
        <v>261</v>
      </c>
      <c r="D57" s="17" t="s">
        <v>66</v>
      </c>
      <c r="E57" s="18">
        <v>1</v>
      </c>
      <c r="F57" s="19">
        <v>5000</v>
      </c>
      <c r="G57" s="20">
        <f>E57*F57</f>
        <v>5000</v>
      </c>
      <c r="H57" s="19">
        <v>15000</v>
      </c>
      <c r="I57" s="20">
        <f>E57*H57</f>
        <v>15000</v>
      </c>
      <c r="J57" s="19">
        <v>30000</v>
      </c>
      <c r="K57" s="20">
        <f>E57*J57</f>
        <v>30000</v>
      </c>
      <c r="L57" s="17" t="s">
        <v>262</v>
      </c>
      <c r="M57" s="17"/>
      <c r="N57" s="18" t="s">
        <v>57</v>
      </c>
      <c r="O57" s="20">
        <f>IF(N57="МИН",G57,IF(N57="МАКС",K57,I57))</f>
        <v>15000</v>
      </c>
    </row>
    <row r="58" spans="1:15" ht="32" x14ac:dyDescent="0.2">
      <c r="A58" s="17">
        <v>48</v>
      </c>
      <c r="B58" s="17" t="s">
        <v>258</v>
      </c>
      <c r="C58" s="17" t="s">
        <v>263</v>
      </c>
      <c r="D58" s="17" t="s">
        <v>66</v>
      </c>
      <c r="E58" s="18">
        <v>1</v>
      </c>
      <c r="F58" s="19">
        <v>3000</v>
      </c>
      <c r="G58" s="20">
        <f>E58*F58</f>
        <v>3000</v>
      </c>
      <c r="H58" s="19">
        <v>8000</v>
      </c>
      <c r="I58" s="20">
        <f>E58*H58</f>
        <v>8000</v>
      </c>
      <c r="J58" s="19">
        <v>15000</v>
      </c>
      <c r="K58" s="20">
        <f>E58*J58</f>
        <v>15000</v>
      </c>
      <c r="L58" s="17"/>
      <c r="M58" s="17"/>
      <c r="N58" s="18" t="s">
        <v>57</v>
      </c>
      <c r="O58" s="20">
        <f>IF(N58="МИН",G58,IF(N58="МАКС",K58,I58))</f>
        <v>8000</v>
      </c>
    </row>
    <row r="59" spans="1:15" ht="16" x14ac:dyDescent="0.2">
      <c r="A59" s="17">
        <v>49</v>
      </c>
      <c r="B59" s="17" t="s">
        <v>258</v>
      </c>
      <c r="C59" s="17" t="s">
        <v>264</v>
      </c>
      <c r="D59" s="17" t="s">
        <v>76</v>
      </c>
      <c r="E59" s="18">
        <v>1</v>
      </c>
      <c r="F59" s="19">
        <v>1500</v>
      </c>
      <c r="G59" s="20">
        <f>E59*F59</f>
        <v>1500</v>
      </c>
      <c r="H59" s="19">
        <v>2500</v>
      </c>
      <c r="I59" s="20">
        <f>E59*H59</f>
        <v>2500</v>
      </c>
      <c r="J59" s="19">
        <v>4000</v>
      </c>
      <c r="K59" s="20">
        <f>E59*J59</f>
        <v>4000</v>
      </c>
      <c r="L59" s="17"/>
      <c r="M59" s="17"/>
      <c r="N59" s="18" t="s">
        <v>57</v>
      </c>
      <c r="O59" s="20">
        <f>IF(N59="МИН",G59,IF(N59="МАКС",K59,I59))</f>
        <v>2500</v>
      </c>
    </row>
    <row r="60" spans="1:15" ht="32" x14ac:dyDescent="0.2">
      <c r="A60" s="17">
        <v>50</v>
      </c>
      <c r="B60" s="17" t="s">
        <v>258</v>
      </c>
      <c r="C60" s="17" t="s">
        <v>265</v>
      </c>
      <c r="D60" s="17" t="s">
        <v>66</v>
      </c>
      <c r="E60" s="18">
        <v>1</v>
      </c>
      <c r="F60" s="19">
        <v>5000</v>
      </c>
      <c r="G60" s="20">
        <f>E60*F60</f>
        <v>5000</v>
      </c>
      <c r="H60" s="19">
        <v>15000</v>
      </c>
      <c r="I60" s="20">
        <f>E60*H60</f>
        <v>15000</v>
      </c>
      <c r="J60" s="19">
        <v>30000</v>
      </c>
      <c r="K60" s="20">
        <f>E60*J60</f>
        <v>30000</v>
      </c>
      <c r="L60" s="17"/>
      <c r="M60" s="17"/>
      <c r="N60" s="18" t="s">
        <v>57</v>
      </c>
      <c r="O60" s="20">
        <f>IF(N60="МИН",G60,IF(N60="МАКС",K60,I60))</f>
        <v>15000</v>
      </c>
    </row>
    <row r="62" spans="1:15" x14ac:dyDescent="0.2">
      <c r="A62" s="16"/>
      <c r="B62" s="16"/>
      <c r="C62" s="15" t="s">
        <v>164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x14ac:dyDescent="0.2">
      <c r="C63" s="22" t="s">
        <v>175</v>
      </c>
      <c r="G63" s="23">
        <f>SUM(G6:G17)</f>
        <v>187000</v>
      </c>
      <c r="I63" s="23">
        <f>SUM(I6:I17)</f>
        <v>460000</v>
      </c>
      <c r="K63" s="23">
        <f>SUM(K6:K17)</f>
        <v>1260000</v>
      </c>
      <c r="O63" s="23">
        <f>SUM(O6:O17)</f>
        <v>297000</v>
      </c>
    </row>
    <row r="64" spans="1:15" x14ac:dyDescent="0.2">
      <c r="C64" s="22" t="s">
        <v>203</v>
      </c>
      <c r="G64" s="23">
        <f>SUM(G19:G26)</f>
        <v>73000</v>
      </c>
      <c r="I64" s="23">
        <f>SUM(I19:I26)</f>
        <v>201000</v>
      </c>
      <c r="K64" s="23">
        <f>SUM(K19:K26)</f>
        <v>575000</v>
      </c>
      <c r="O64" s="23">
        <f>SUM(O19:O26)</f>
        <v>91000</v>
      </c>
    </row>
    <row r="65" spans="1:15" x14ac:dyDescent="0.2">
      <c r="C65" s="22" t="s">
        <v>217</v>
      </c>
      <c r="G65" s="23">
        <f>SUM(G28:G36)</f>
        <v>59000</v>
      </c>
      <c r="I65" s="23">
        <f>SUM(I28:I36)</f>
        <v>169000</v>
      </c>
      <c r="K65" s="23">
        <f>SUM(K28:K36)</f>
        <v>450000</v>
      </c>
      <c r="O65" s="23">
        <f>SUM(O28:O36)</f>
        <v>110000</v>
      </c>
    </row>
    <row r="66" spans="1:15" x14ac:dyDescent="0.2">
      <c r="C66" s="22" t="s">
        <v>230</v>
      </c>
      <c r="G66" s="23">
        <f>SUM(G38:G46)</f>
        <v>79000</v>
      </c>
      <c r="I66" s="23">
        <f>SUM(I38:I46)</f>
        <v>248000</v>
      </c>
      <c r="K66" s="23">
        <f>SUM(K38:K46)</f>
        <v>745000</v>
      </c>
      <c r="O66" s="23">
        <f>SUM(O38:O46)</f>
        <v>154000</v>
      </c>
    </row>
    <row r="67" spans="1:15" x14ac:dyDescent="0.2">
      <c r="C67" s="22" t="s">
        <v>244</v>
      </c>
      <c r="G67" s="23">
        <f>SUM(G48:G54)</f>
        <v>53500</v>
      </c>
      <c r="I67" s="23">
        <f>SUM(I48:I54)</f>
        <v>129000</v>
      </c>
      <c r="K67" s="23">
        <f>SUM(K48:K54)</f>
        <v>322000</v>
      </c>
      <c r="O67" s="23">
        <f>SUM(O48:O54)</f>
        <v>73500</v>
      </c>
    </row>
    <row r="68" spans="1:15" x14ac:dyDescent="0.2">
      <c r="C68" s="22" t="s">
        <v>257</v>
      </c>
      <c r="G68" s="23">
        <f>SUM(G56:G60)</f>
        <v>22500</v>
      </c>
      <c r="I68" s="23">
        <f>SUM(I56:I60)</f>
        <v>65500</v>
      </c>
      <c r="K68" s="23">
        <f>SUM(K56:K60)</f>
        <v>129000</v>
      </c>
      <c r="O68" s="23">
        <f>SUM(O56:O60)</f>
        <v>65500</v>
      </c>
    </row>
    <row r="69" spans="1:15" x14ac:dyDescent="0.2">
      <c r="C69" s="22" t="s">
        <v>266</v>
      </c>
      <c r="G69" s="23">
        <f>SUM(G63:G67)</f>
        <v>451500</v>
      </c>
      <c r="I69" s="23">
        <f>SUM(I63:I67)</f>
        <v>1207000</v>
      </c>
      <c r="K69" s="23">
        <f>SUM(K63:K67)</f>
        <v>3352000</v>
      </c>
      <c r="O69" s="23">
        <f>SUM(O63:O67)</f>
        <v>725500</v>
      </c>
    </row>
    <row r="70" spans="1:15" x14ac:dyDescent="0.2">
      <c r="C70" s="22" t="s">
        <v>267</v>
      </c>
      <c r="G70" s="23">
        <f>G68</f>
        <v>22500</v>
      </c>
      <c r="I70" s="23">
        <f>I68</f>
        <v>65500</v>
      </c>
      <c r="K70" s="23">
        <f>K68</f>
        <v>129000</v>
      </c>
      <c r="O70" s="23">
        <f>O68</f>
        <v>65500</v>
      </c>
    </row>
    <row r="71" spans="1:15" x14ac:dyDescent="0.2">
      <c r="A71" s="24"/>
      <c r="B71" s="24"/>
      <c r="C71" s="25" t="s">
        <v>167</v>
      </c>
      <c r="D71" s="24"/>
      <c r="E71" s="24"/>
      <c r="F71" s="24"/>
      <c r="G71" s="26">
        <f>G69+G70</f>
        <v>474000</v>
      </c>
      <c r="H71" s="24"/>
      <c r="I71" s="26">
        <f>I69+I70</f>
        <v>1272500</v>
      </c>
      <c r="J71" s="24"/>
      <c r="K71" s="26">
        <f>K69+K70</f>
        <v>3481000</v>
      </c>
      <c r="L71" s="24"/>
      <c r="M71" s="24"/>
      <c r="N71" s="24"/>
      <c r="O71" s="26">
        <f>O69+O70</f>
        <v>791000</v>
      </c>
    </row>
    <row r="72" spans="1:15" x14ac:dyDescent="0.2">
      <c r="C72" s="22" t="s">
        <v>168</v>
      </c>
      <c r="E72" s="27">
        <f>Параметры!$B$18</f>
        <v>0.1</v>
      </c>
      <c r="G72" s="28">
        <f>G71*$E$72</f>
        <v>47400</v>
      </c>
      <c r="I72" s="28">
        <f>I71*$E$72</f>
        <v>127250</v>
      </c>
      <c r="K72" s="28">
        <f>K71*$E$72</f>
        <v>348100</v>
      </c>
      <c r="O72" s="28">
        <f>O71*$E$72</f>
        <v>79100</v>
      </c>
    </row>
    <row r="73" spans="1:15" ht="16" x14ac:dyDescent="0.2">
      <c r="A73" s="24"/>
      <c r="B73" s="24"/>
      <c r="C73" s="29" t="s">
        <v>169</v>
      </c>
      <c r="D73" s="24"/>
      <c r="E73" s="24"/>
      <c r="F73" s="24"/>
      <c r="G73" s="30">
        <f>G71+G72</f>
        <v>521400</v>
      </c>
      <c r="H73" s="24"/>
      <c r="I73" s="30">
        <f>I71+I72</f>
        <v>1399750</v>
      </c>
      <c r="J73" s="24"/>
      <c r="K73" s="30">
        <f>K71+K72</f>
        <v>3829100</v>
      </c>
      <c r="L73" s="24"/>
      <c r="M73" s="24"/>
      <c r="N73" s="24"/>
      <c r="O73" s="30">
        <f>O71+O72</f>
        <v>870100</v>
      </c>
    </row>
    <row r="75" spans="1:15" ht="45" customHeight="1" x14ac:dyDescent="0.2">
      <c r="C75" s="31" t="s">
        <v>268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</row>
  </sheetData>
  <mergeCells count="1">
    <mergeCell ref="C75:O75"/>
  </mergeCells>
  <dataValidations count="1">
    <dataValidation type="list" sqref="N5:N60" xr:uid="{00000000-0002-0000-0200-000000000000}">
      <formula1>"МИН,СРЕД,МАКС"</formula1>
      <formula2>0</formula2>
    </dataValidation>
  </dataValidations>
  <hyperlinks>
    <hyperlink ref="M6" r:id="rId1" xr:uid="{00000000-0004-0000-0200-000000000000}"/>
    <hyperlink ref="M7" r:id="rId2" xr:uid="{00000000-0004-0000-0200-000001000000}"/>
    <hyperlink ref="M8" r:id="rId3" xr:uid="{00000000-0004-0000-0200-000002000000}"/>
    <hyperlink ref="M9" r:id="rId4" xr:uid="{00000000-0004-0000-0200-000003000000}"/>
    <hyperlink ref="M10" r:id="rId5" xr:uid="{00000000-0004-0000-0200-000004000000}"/>
    <hyperlink ref="M11" r:id="rId6" xr:uid="{00000000-0004-0000-0200-000005000000}"/>
    <hyperlink ref="M12" r:id="rId7" xr:uid="{00000000-0004-0000-0200-000006000000}"/>
    <hyperlink ref="M13" r:id="rId8" xr:uid="{00000000-0004-0000-0200-000007000000}"/>
    <hyperlink ref="M14" r:id="rId9" xr:uid="{00000000-0004-0000-0200-000008000000}"/>
    <hyperlink ref="M15" r:id="rId10" xr:uid="{00000000-0004-0000-0200-000009000000}"/>
    <hyperlink ref="M16" r:id="rId11" xr:uid="{00000000-0004-0000-0200-00000A000000}"/>
    <hyperlink ref="M17" r:id="rId12" xr:uid="{00000000-0004-0000-0200-00000B000000}"/>
    <hyperlink ref="M19" r:id="rId13" xr:uid="{00000000-0004-0000-0200-00000C000000}"/>
    <hyperlink ref="M20" r:id="rId14" xr:uid="{00000000-0004-0000-0200-00000D000000}"/>
    <hyperlink ref="M21" r:id="rId15" xr:uid="{00000000-0004-0000-0200-00000E000000}"/>
    <hyperlink ref="M22" r:id="rId16" xr:uid="{00000000-0004-0000-0200-00000F000000}"/>
    <hyperlink ref="M23" r:id="rId17" xr:uid="{00000000-0004-0000-0200-000010000000}"/>
    <hyperlink ref="M24" r:id="rId18" xr:uid="{00000000-0004-0000-0200-000011000000}"/>
    <hyperlink ref="M25" r:id="rId19" xr:uid="{00000000-0004-0000-0200-000012000000}"/>
    <hyperlink ref="M26" r:id="rId20" xr:uid="{00000000-0004-0000-0200-000013000000}"/>
    <hyperlink ref="M28" r:id="rId21" xr:uid="{00000000-0004-0000-0200-000014000000}"/>
    <hyperlink ref="M29" r:id="rId22" xr:uid="{00000000-0004-0000-0200-000015000000}"/>
    <hyperlink ref="M30" r:id="rId23" xr:uid="{00000000-0004-0000-0200-000016000000}"/>
    <hyperlink ref="M31" r:id="rId24" xr:uid="{00000000-0004-0000-0200-000017000000}"/>
    <hyperlink ref="M32" r:id="rId25" xr:uid="{00000000-0004-0000-0200-000018000000}"/>
    <hyperlink ref="M33" r:id="rId26" xr:uid="{00000000-0004-0000-0200-000019000000}"/>
    <hyperlink ref="M34" r:id="rId27" xr:uid="{00000000-0004-0000-0200-00001A000000}"/>
    <hyperlink ref="M35" r:id="rId28" xr:uid="{00000000-0004-0000-0200-00001B000000}"/>
    <hyperlink ref="M36" r:id="rId29" xr:uid="{00000000-0004-0000-0200-00001C000000}"/>
    <hyperlink ref="M38" r:id="rId30" xr:uid="{00000000-0004-0000-0200-00001D000000}"/>
    <hyperlink ref="M39" r:id="rId31" xr:uid="{00000000-0004-0000-0200-00001E000000}"/>
    <hyperlink ref="M40" r:id="rId32" xr:uid="{00000000-0004-0000-0200-00001F000000}"/>
    <hyperlink ref="M41" r:id="rId33" xr:uid="{00000000-0004-0000-0200-000020000000}"/>
    <hyperlink ref="M42" r:id="rId34" xr:uid="{00000000-0004-0000-0200-000021000000}"/>
    <hyperlink ref="M43" r:id="rId35" xr:uid="{00000000-0004-0000-0200-000022000000}"/>
    <hyperlink ref="M44" r:id="rId36" xr:uid="{00000000-0004-0000-0200-000023000000}"/>
    <hyperlink ref="M45" r:id="rId37" xr:uid="{00000000-0004-0000-0200-000024000000}"/>
    <hyperlink ref="M46" r:id="rId38" xr:uid="{00000000-0004-0000-0200-000025000000}"/>
    <hyperlink ref="M48" r:id="rId39" xr:uid="{00000000-0004-0000-0200-000026000000}"/>
    <hyperlink ref="M49" r:id="rId40" xr:uid="{00000000-0004-0000-0200-000027000000}"/>
    <hyperlink ref="M50" r:id="rId41" xr:uid="{00000000-0004-0000-0200-000028000000}"/>
    <hyperlink ref="M51" r:id="rId42" xr:uid="{00000000-0004-0000-0200-000029000000}"/>
    <hyperlink ref="M52" r:id="rId43" xr:uid="{00000000-0004-0000-0200-00002A000000}"/>
    <hyperlink ref="M53" r:id="rId44" xr:uid="{00000000-0004-0000-0200-00002B000000}"/>
    <hyperlink ref="M54" r:id="rId45" xr:uid="{00000000-0004-0000-0200-00002C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zoomScaleNormal="100" workbookViewId="0">
      <selection sqref="A1:XFD1048576"/>
    </sheetView>
  </sheetViews>
  <sheetFormatPr baseColWidth="10" defaultColWidth="8.6640625" defaultRowHeight="15" x14ac:dyDescent="0.2"/>
  <cols>
    <col min="1" max="1" width="58" style="12" customWidth="1"/>
    <col min="2" max="5" width="16" style="12" customWidth="1"/>
    <col min="6" max="6" width="40" style="12" customWidth="1"/>
    <col min="7" max="16384" width="8.6640625" style="12"/>
  </cols>
  <sheetData>
    <row r="1" spans="1:6" ht="17" x14ac:dyDescent="0.2">
      <c r="A1" s="11" t="s">
        <v>269</v>
      </c>
    </row>
    <row r="2" spans="1:6" x14ac:dyDescent="0.2">
      <c r="A2" s="12" t="s">
        <v>270</v>
      </c>
    </row>
    <row r="4" spans="1:6" x14ac:dyDescent="0.2">
      <c r="A4" s="34" t="s">
        <v>271</v>
      </c>
      <c r="B4" s="34" t="s">
        <v>180</v>
      </c>
      <c r="C4" s="34" t="s">
        <v>57</v>
      </c>
      <c r="D4" s="34" t="s">
        <v>272</v>
      </c>
      <c r="E4" s="34" t="s">
        <v>273</v>
      </c>
      <c r="F4" s="34" t="s">
        <v>3</v>
      </c>
    </row>
    <row r="5" spans="1:6" x14ac:dyDescent="0.2">
      <c r="A5" s="33" t="s">
        <v>274</v>
      </c>
      <c r="B5" s="35">
        <f>'1_Ремонт'!G81</f>
        <v>232190</v>
      </c>
      <c r="C5" s="35">
        <f>'1_Ремонт'!I81</f>
        <v>598460</v>
      </c>
      <c r="D5" s="35">
        <f>'1_Ремонт'!K81</f>
        <v>1413650</v>
      </c>
      <c r="E5" s="35">
        <f>'1_Ремонт'!N81</f>
        <v>598460</v>
      </c>
      <c r="F5" s="12" t="s">
        <v>275</v>
      </c>
    </row>
    <row r="6" spans="1:6" x14ac:dyDescent="0.2">
      <c r="A6" s="33" t="s">
        <v>276</v>
      </c>
      <c r="B6" s="35">
        <f>'1_Ремонт'!G82</f>
        <v>125600</v>
      </c>
      <c r="C6" s="35">
        <f>'1_Ремонт'!I82</f>
        <v>235100</v>
      </c>
      <c r="D6" s="35">
        <f>'1_Ремонт'!K82</f>
        <v>420200</v>
      </c>
      <c r="E6" s="35">
        <f>'1_Ремонт'!N82</f>
        <v>235100</v>
      </c>
    </row>
    <row r="7" spans="1:6" x14ac:dyDescent="0.2">
      <c r="A7" s="33" t="s">
        <v>277</v>
      </c>
      <c r="B7" s="35">
        <f>'1_Ремонт'!G84</f>
        <v>35779</v>
      </c>
      <c r="C7" s="35">
        <f>'1_Ремонт'!I84</f>
        <v>83356</v>
      </c>
      <c r="D7" s="35">
        <f>'1_Ремонт'!K84</f>
        <v>183385</v>
      </c>
      <c r="E7" s="35">
        <f>'1_Ремонт'!N84</f>
        <v>83356</v>
      </c>
      <c r="F7" s="12" t="s">
        <v>278</v>
      </c>
    </row>
    <row r="8" spans="1:6" x14ac:dyDescent="0.2">
      <c r="A8" s="15" t="s">
        <v>279</v>
      </c>
      <c r="B8" s="36">
        <f>'1_Ремонт'!G85</f>
        <v>393569</v>
      </c>
      <c r="C8" s="36">
        <f>'1_Ремонт'!I85</f>
        <v>916916</v>
      </c>
      <c r="D8" s="36">
        <f>'1_Ремонт'!K85</f>
        <v>2017235</v>
      </c>
      <c r="E8" s="36">
        <f>'1_Ремонт'!N85</f>
        <v>916916</v>
      </c>
      <c r="F8" s="16" t="s">
        <v>280</v>
      </c>
    </row>
    <row r="9" spans="1:6" x14ac:dyDescent="0.2">
      <c r="A9" s="33"/>
    </row>
    <row r="10" spans="1:6" x14ac:dyDescent="0.2">
      <c r="A10" s="33" t="s">
        <v>281</v>
      </c>
      <c r="B10" s="35">
        <f>'2_Заезд'!G69</f>
        <v>451500</v>
      </c>
      <c r="C10" s="35">
        <f>'2_Заезд'!I69</f>
        <v>1207000</v>
      </c>
      <c r="D10" s="35">
        <f>'2_Заезд'!K69</f>
        <v>3352000</v>
      </c>
      <c r="E10" s="35">
        <f>'2_Заезд'!O69</f>
        <v>725500</v>
      </c>
    </row>
    <row r="11" spans="1:6" x14ac:dyDescent="0.2">
      <c r="A11" s="33" t="s">
        <v>282</v>
      </c>
      <c r="B11" s="35">
        <f>'2_Заезд'!G70</f>
        <v>22500</v>
      </c>
      <c r="C11" s="35">
        <f>'2_Заезд'!I70</f>
        <v>65500</v>
      </c>
      <c r="D11" s="35">
        <f>'2_Заезд'!K70</f>
        <v>129000</v>
      </c>
      <c r="E11" s="35">
        <f>'2_Заезд'!O70</f>
        <v>65500</v>
      </c>
    </row>
    <row r="12" spans="1:6" x14ac:dyDescent="0.2">
      <c r="A12" s="33" t="s">
        <v>283</v>
      </c>
      <c r="B12" s="35">
        <f>'2_Заезд'!G72</f>
        <v>47400</v>
      </c>
      <c r="C12" s="35">
        <f>'2_Заезд'!I72</f>
        <v>127250</v>
      </c>
      <c r="D12" s="35">
        <f>'2_Заезд'!K72</f>
        <v>348100</v>
      </c>
      <c r="E12" s="35">
        <f>'2_Заезд'!O72</f>
        <v>79100</v>
      </c>
    </row>
    <row r="13" spans="1:6" x14ac:dyDescent="0.2">
      <c r="A13" s="15" t="s">
        <v>284</v>
      </c>
      <c r="B13" s="36">
        <f>'2_Заезд'!G73</f>
        <v>521400</v>
      </c>
      <c r="C13" s="36">
        <f>'2_Заезд'!I73</f>
        <v>1399750</v>
      </c>
      <c r="D13" s="36">
        <f>'2_Заезд'!K73</f>
        <v>3829100</v>
      </c>
      <c r="E13" s="36">
        <f>'2_Заезд'!O73</f>
        <v>870100</v>
      </c>
      <c r="F13" s="16" t="s">
        <v>285</v>
      </c>
    </row>
    <row r="14" spans="1:6" x14ac:dyDescent="0.2">
      <c r="A14" s="33"/>
    </row>
    <row r="15" spans="1:6" x14ac:dyDescent="0.2">
      <c r="A15" s="22" t="s">
        <v>286</v>
      </c>
      <c r="B15" s="37">
        <f t="shared" ref="B15:E18" si="0">B5+B10</f>
        <v>683690</v>
      </c>
      <c r="C15" s="37">
        <f t="shared" si="0"/>
        <v>1805460</v>
      </c>
      <c r="D15" s="37">
        <f t="shared" si="0"/>
        <v>4765650</v>
      </c>
      <c r="E15" s="37">
        <f t="shared" si="0"/>
        <v>1323960</v>
      </c>
    </row>
    <row r="16" spans="1:6" x14ac:dyDescent="0.2">
      <c r="A16" s="22" t="s">
        <v>287</v>
      </c>
      <c r="B16" s="37">
        <f t="shared" si="0"/>
        <v>148100</v>
      </c>
      <c r="C16" s="37">
        <f t="shared" si="0"/>
        <v>300600</v>
      </c>
      <c r="D16" s="37">
        <f t="shared" si="0"/>
        <v>549200</v>
      </c>
      <c r="E16" s="37">
        <f t="shared" si="0"/>
        <v>300600</v>
      </c>
    </row>
    <row r="17" spans="1:6" x14ac:dyDescent="0.2">
      <c r="A17" s="22" t="s">
        <v>288</v>
      </c>
      <c r="B17" s="37">
        <f t="shared" si="0"/>
        <v>83179</v>
      </c>
      <c r="C17" s="37">
        <f t="shared" si="0"/>
        <v>210606</v>
      </c>
      <c r="D17" s="37">
        <f t="shared" si="0"/>
        <v>531485</v>
      </c>
      <c r="E17" s="37">
        <f t="shared" si="0"/>
        <v>162456</v>
      </c>
    </row>
    <row r="18" spans="1:6" x14ac:dyDescent="0.2">
      <c r="A18" s="25" t="s">
        <v>289</v>
      </c>
      <c r="B18" s="38">
        <f t="shared" si="0"/>
        <v>914969</v>
      </c>
      <c r="C18" s="38">
        <f t="shared" si="0"/>
        <v>2316666</v>
      </c>
      <c r="D18" s="38">
        <f t="shared" si="0"/>
        <v>5846335</v>
      </c>
      <c r="E18" s="38">
        <f t="shared" si="0"/>
        <v>1787016</v>
      </c>
      <c r="F18" s="24" t="s">
        <v>290</v>
      </c>
    </row>
    <row r="19" spans="1:6" x14ac:dyDescent="0.2">
      <c r="A19" s="33" t="s">
        <v>291</v>
      </c>
      <c r="B19" s="35">
        <f>IF(Параметры!$B$4=0,0,B18/Параметры!$B$4)</f>
        <v>16605.607985480943</v>
      </c>
      <c r="C19" s="35">
        <f>IF(Параметры!$B$4=0,0,C18/Параметры!$B$4)</f>
        <v>42044.75499092559</v>
      </c>
      <c r="D19" s="35">
        <f>IF(Параметры!$B$4=0,0,D18/Параметры!$B$4)</f>
        <v>106104.08348457349</v>
      </c>
      <c r="E19" s="35">
        <f>IF(Параметры!$B$4=0,0,E18/Параметры!$B$4)</f>
        <v>32432.232304900179</v>
      </c>
    </row>
    <row r="20" spans="1:6" x14ac:dyDescent="0.2">
      <c r="A20" s="33" t="s">
        <v>292</v>
      </c>
      <c r="B20" s="39">
        <f>IF(B18=0,0,B8/B18)</f>
        <v>0.43014462785077967</v>
      </c>
      <c r="C20" s="39">
        <f>IF(C18=0,0,C8/C18)</f>
        <v>0.39579119303343685</v>
      </c>
      <c r="D20" s="39">
        <f>IF(D18=0,0,D8/D18)</f>
        <v>0.34504266348062507</v>
      </c>
      <c r="E20" s="39">
        <f>IF(E18=0,0,E8/E18)</f>
        <v>0.51309893140296448</v>
      </c>
    </row>
    <row r="22" spans="1:6" ht="45" customHeight="1" x14ac:dyDescent="0.2">
      <c r="A22" s="31" t="s">
        <v>293</v>
      </c>
      <c r="B22" s="31"/>
      <c r="C22" s="31"/>
      <c r="D22" s="31"/>
      <c r="E22" s="31"/>
      <c r="F22" s="31"/>
    </row>
    <row r="23" spans="1:6" x14ac:dyDescent="0.2">
      <c r="A23" s="22" t="s">
        <v>294</v>
      </c>
    </row>
    <row r="24" spans="1:6" x14ac:dyDescent="0.2">
      <c r="A24" s="12" t="s">
        <v>295</v>
      </c>
    </row>
  </sheetData>
  <mergeCells count="1">
    <mergeCell ref="A22:F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4" customWidth="1"/>
    <col min="3" max="3" width="16" customWidth="1"/>
    <col min="4" max="4" width="52" customWidth="1"/>
    <col min="5" max="5" width="60" customWidth="1"/>
  </cols>
  <sheetData>
    <row r="1" spans="1:5" ht="17" x14ac:dyDescent="0.2">
      <c r="A1" s="2" t="s">
        <v>296</v>
      </c>
    </row>
    <row r="3" spans="1:5" x14ac:dyDescent="0.2">
      <c r="A3" s="3" t="s">
        <v>297</v>
      </c>
      <c r="B3" s="3" t="s">
        <v>298</v>
      </c>
      <c r="C3" s="3" t="s">
        <v>299</v>
      </c>
      <c r="D3" s="3" t="s">
        <v>300</v>
      </c>
      <c r="E3" s="3" t="s">
        <v>301</v>
      </c>
    </row>
    <row r="4" spans="1:5" ht="16" x14ac:dyDescent="0.2">
      <c r="A4" s="8" t="s">
        <v>204</v>
      </c>
      <c r="B4" s="8">
        <v>11.7</v>
      </c>
      <c r="C4" s="8">
        <v>11.7</v>
      </c>
      <c r="D4" s="8" t="s">
        <v>302</v>
      </c>
      <c r="E4" s="8" t="s">
        <v>303</v>
      </c>
    </row>
    <row r="5" spans="1:5" ht="32" x14ac:dyDescent="0.2">
      <c r="A5" s="8" t="s">
        <v>304</v>
      </c>
      <c r="B5" s="8">
        <v>13.7</v>
      </c>
      <c r="C5" s="8">
        <v>12.2</v>
      </c>
      <c r="D5" s="8" t="s">
        <v>305</v>
      </c>
      <c r="E5" s="8" t="s">
        <v>306</v>
      </c>
    </row>
    <row r="6" spans="1:5" ht="16" x14ac:dyDescent="0.2">
      <c r="A6" s="8" t="s">
        <v>176</v>
      </c>
      <c r="B6" s="8">
        <v>10.3</v>
      </c>
      <c r="C6" s="8">
        <v>11.8</v>
      </c>
      <c r="D6" s="8" t="s">
        <v>307</v>
      </c>
      <c r="E6" s="8" t="s">
        <v>308</v>
      </c>
    </row>
    <row r="7" spans="1:5" ht="16" x14ac:dyDescent="0.2">
      <c r="A7" s="8" t="s">
        <v>245</v>
      </c>
      <c r="B7" s="8">
        <v>11.8</v>
      </c>
      <c r="C7" s="8">
        <v>11.8</v>
      </c>
      <c r="D7" s="8" t="s">
        <v>309</v>
      </c>
      <c r="E7" s="8" t="s">
        <v>310</v>
      </c>
    </row>
    <row r="8" spans="1:5" ht="16" x14ac:dyDescent="0.2">
      <c r="A8" s="8" t="s">
        <v>311</v>
      </c>
      <c r="B8" s="8">
        <v>2.8</v>
      </c>
      <c r="C8" s="8">
        <v>2.8</v>
      </c>
      <c r="D8" s="8" t="s">
        <v>312</v>
      </c>
      <c r="E8" s="8" t="s">
        <v>313</v>
      </c>
    </row>
    <row r="9" spans="1:5" ht="16" x14ac:dyDescent="0.2">
      <c r="A9" s="8" t="s">
        <v>314</v>
      </c>
      <c r="B9" s="8">
        <v>2.1</v>
      </c>
      <c r="C9" s="8">
        <v>2.1</v>
      </c>
      <c r="D9" s="8" t="s">
        <v>315</v>
      </c>
      <c r="E9" s="8" t="s">
        <v>303</v>
      </c>
    </row>
    <row r="10" spans="1:5" ht="16" x14ac:dyDescent="0.2">
      <c r="A10" s="8" t="s">
        <v>316</v>
      </c>
      <c r="B10" s="8">
        <v>2.7</v>
      </c>
      <c r="C10" s="8">
        <v>2.7</v>
      </c>
      <c r="D10" s="8" t="s">
        <v>317</v>
      </c>
      <c r="E10" s="8" t="s">
        <v>303</v>
      </c>
    </row>
    <row r="11" spans="1:5" x14ac:dyDescent="0.2">
      <c r="A11" s="7" t="s">
        <v>318</v>
      </c>
      <c r="B11" s="7">
        <f>SUM(B4:B9)</f>
        <v>52.4</v>
      </c>
      <c r="C11" s="7">
        <f>SUM(C4:C9)</f>
        <v>52.4</v>
      </c>
    </row>
    <row r="13" spans="1:5" ht="39.75" customHeight="1" x14ac:dyDescent="0.2">
      <c r="A13" s="1" t="s">
        <v>319</v>
      </c>
      <c r="B13" s="1"/>
      <c r="C13" s="1"/>
      <c r="D13" s="1"/>
      <c r="E13" s="1"/>
    </row>
    <row r="14" spans="1:5" ht="30" customHeight="1" x14ac:dyDescent="0.2">
      <c r="A14" s="1" t="s">
        <v>320</v>
      </c>
      <c r="B14" s="1"/>
      <c r="C14" s="1"/>
      <c r="D14" s="1"/>
      <c r="E14" s="1"/>
    </row>
  </sheetData>
  <mergeCells count="2">
    <mergeCell ref="A13:E13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10" customWidth="1"/>
    <col min="3" max="3" width="62" customWidth="1"/>
    <col min="4" max="4" width="22" customWidth="1"/>
    <col min="5" max="5" width="30" customWidth="1"/>
    <col min="6" max="6" width="70" customWidth="1"/>
  </cols>
  <sheetData>
    <row r="1" spans="1:6" ht="17" x14ac:dyDescent="0.2">
      <c r="A1" s="2" t="s">
        <v>321</v>
      </c>
    </row>
    <row r="2" spans="1:6" x14ac:dyDescent="0.2">
      <c r="A2" t="s">
        <v>322</v>
      </c>
    </row>
    <row r="4" spans="1:6" x14ac:dyDescent="0.2">
      <c r="A4" s="3" t="s">
        <v>40</v>
      </c>
      <c r="B4" s="3" t="s">
        <v>323</v>
      </c>
      <c r="C4" s="3" t="s">
        <v>324</v>
      </c>
      <c r="D4" s="3" t="s">
        <v>325</v>
      </c>
      <c r="E4" s="3" t="s">
        <v>326</v>
      </c>
      <c r="F4" s="3" t="s">
        <v>327</v>
      </c>
    </row>
    <row r="5" spans="1:6" ht="16" x14ac:dyDescent="0.2">
      <c r="A5" s="8" t="s">
        <v>328</v>
      </c>
      <c r="B5" s="10" t="s">
        <v>180</v>
      </c>
      <c r="C5" s="8" t="s">
        <v>329</v>
      </c>
      <c r="D5" s="8" t="s">
        <v>330</v>
      </c>
      <c r="E5" s="8" t="s">
        <v>331</v>
      </c>
      <c r="F5" s="9" t="s">
        <v>332</v>
      </c>
    </row>
    <row r="6" spans="1:6" ht="16" x14ac:dyDescent="0.2">
      <c r="A6" s="8" t="s">
        <v>328</v>
      </c>
      <c r="B6" s="10" t="s">
        <v>180</v>
      </c>
      <c r="C6" s="8" t="s">
        <v>333</v>
      </c>
      <c r="D6" s="8" t="s">
        <v>334</v>
      </c>
      <c r="E6" s="8" t="s">
        <v>335</v>
      </c>
      <c r="F6" s="9" t="s">
        <v>336</v>
      </c>
    </row>
    <row r="7" spans="1:6" ht="32" x14ac:dyDescent="0.2">
      <c r="A7" s="8" t="s">
        <v>328</v>
      </c>
      <c r="B7" s="10" t="s">
        <v>57</v>
      </c>
      <c r="C7" s="8" t="s">
        <v>337</v>
      </c>
      <c r="D7" s="8" t="s">
        <v>338</v>
      </c>
      <c r="E7" s="8" t="s">
        <v>331</v>
      </c>
      <c r="F7" s="9" t="s">
        <v>332</v>
      </c>
    </row>
    <row r="8" spans="1:6" ht="16" x14ac:dyDescent="0.2">
      <c r="A8" s="8" t="s">
        <v>328</v>
      </c>
      <c r="B8" s="10" t="s">
        <v>272</v>
      </c>
      <c r="C8" s="8" t="s">
        <v>339</v>
      </c>
      <c r="D8" s="8" t="s">
        <v>340</v>
      </c>
      <c r="E8" s="8" t="s">
        <v>341</v>
      </c>
      <c r="F8" s="9" t="s">
        <v>342</v>
      </c>
    </row>
    <row r="9" spans="1:6" ht="16" x14ac:dyDescent="0.2">
      <c r="A9" s="8" t="s">
        <v>328</v>
      </c>
      <c r="B9" s="10" t="s">
        <v>272</v>
      </c>
      <c r="C9" s="8" t="s">
        <v>343</v>
      </c>
      <c r="D9" s="8" t="s">
        <v>344</v>
      </c>
      <c r="E9" s="8" t="s">
        <v>345</v>
      </c>
      <c r="F9" s="9" t="s">
        <v>346</v>
      </c>
    </row>
    <row r="10" spans="1:6" ht="32" x14ac:dyDescent="0.2">
      <c r="A10" s="8" t="s">
        <v>347</v>
      </c>
      <c r="B10" s="10" t="s">
        <v>348</v>
      </c>
      <c r="C10" s="8" t="s">
        <v>349</v>
      </c>
      <c r="D10" s="8" t="s">
        <v>350</v>
      </c>
      <c r="E10" s="8" t="s">
        <v>331</v>
      </c>
      <c r="F10" s="9" t="s">
        <v>186</v>
      </c>
    </row>
    <row r="11" spans="1:6" ht="32" x14ac:dyDescent="0.2">
      <c r="A11" s="8" t="s">
        <v>351</v>
      </c>
      <c r="B11" s="10" t="s">
        <v>180</v>
      </c>
      <c r="C11" s="8" t="s">
        <v>352</v>
      </c>
      <c r="D11" s="8" t="s">
        <v>353</v>
      </c>
      <c r="E11" s="8" t="s">
        <v>354</v>
      </c>
      <c r="F11" s="9" t="s">
        <v>355</v>
      </c>
    </row>
    <row r="12" spans="1:6" ht="16" x14ac:dyDescent="0.2">
      <c r="A12" s="8" t="s">
        <v>351</v>
      </c>
      <c r="B12" s="10" t="s">
        <v>356</v>
      </c>
      <c r="C12" s="8" t="s">
        <v>357</v>
      </c>
      <c r="D12" s="8" t="s">
        <v>358</v>
      </c>
      <c r="E12" s="8" t="s">
        <v>359</v>
      </c>
      <c r="F12" s="9" t="s">
        <v>360</v>
      </c>
    </row>
    <row r="13" spans="1:6" ht="16" x14ac:dyDescent="0.2">
      <c r="A13" s="8" t="s">
        <v>351</v>
      </c>
      <c r="B13" s="10" t="s">
        <v>57</v>
      </c>
      <c r="C13" s="8" t="s">
        <v>361</v>
      </c>
      <c r="D13" s="8" t="s">
        <v>362</v>
      </c>
      <c r="E13" s="8" t="s">
        <v>363</v>
      </c>
      <c r="F13" s="9" t="s">
        <v>364</v>
      </c>
    </row>
    <row r="14" spans="1:6" ht="16" x14ac:dyDescent="0.2">
      <c r="A14" s="8" t="s">
        <v>351</v>
      </c>
      <c r="B14" s="10" t="s">
        <v>272</v>
      </c>
      <c r="C14" s="8" t="s">
        <v>365</v>
      </c>
      <c r="D14" s="8" t="s">
        <v>366</v>
      </c>
      <c r="E14" s="8" t="s">
        <v>367</v>
      </c>
      <c r="F14" s="9" t="s">
        <v>368</v>
      </c>
    </row>
    <row r="15" spans="1:6" ht="32" x14ac:dyDescent="0.2">
      <c r="A15" s="8" t="s">
        <v>369</v>
      </c>
      <c r="B15" s="10" t="s">
        <v>348</v>
      </c>
      <c r="C15" s="8" t="s">
        <v>370</v>
      </c>
      <c r="D15" s="8" t="s">
        <v>350</v>
      </c>
      <c r="E15" s="8" t="s">
        <v>331</v>
      </c>
      <c r="F15" s="9" t="s">
        <v>186</v>
      </c>
    </row>
    <row r="16" spans="1:6" ht="16" x14ac:dyDescent="0.2">
      <c r="A16" s="8" t="s">
        <v>82</v>
      </c>
      <c r="B16" s="10" t="s">
        <v>180</v>
      </c>
      <c r="C16" s="8" t="s">
        <v>371</v>
      </c>
      <c r="D16" s="8" t="s">
        <v>372</v>
      </c>
      <c r="E16" s="8" t="s">
        <v>331</v>
      </c>
      <c r="F16" s="9" t="s">
        <v>373</v>
      </c>
    </row>
    <row r="17" spans="1:6" ht="16" x14ac:dyDescent="0.2">
      <c r="A17" s="8" t="s">
        <v>82</v>
      </c>
      <c r="B17" s="10" t="s">
        <v>57</v>
      </c>
      <c r="C17" s="8" t="s">
        <v>374</v>
      </c>
      <c r="D17" s="8" t="s">
        <v>375</v>
      </c>
      <c r="E17" s="8" t="s">
        <v>331</v>
      </c>
      <c r="F17" s="9" t="s">
        <v>373</v>
      </c>
    </row>
    <row r="18" spans="1:6" ht="16" x14ac:dyDescent="0.2">
      <c r="A18" s="8" t="s">
        <v>82</v>
      </c>
      <c r="B18" s="10" t="s">
        <v>57</v>
      </c>
      <c r="C18" s="8" t="s">
        <v>376</v>
      </c>
      <c r="D18" s="8" t="s">
        <v>377</v>
      </c>
      <c r="E18" s="8" t="s">
        <v>378</v>
      </c>
      <c r="F18" s="9" t="s">
        <v>379</v>
      </c>
    </row>
    <row r="19" spans="1:6" ht="32" x14ac:dyDescent="0.2">
      <c r="A19" s="8" t="s">
        <v>82</v>
      </c>
      <c r="B19" s="10" t="s">
        <v>272</v>
      </c>
      <c r="C19" s="8" t="s">
        <v>380</v>
      </c>
      <c r="D19" s="8" t="s">
        <v>381</v>
      </c>
      <c r="E19" s="8" t="s">
        <v>382</v>
      </c>
      <c r="F19" s="9" t="s">
        <v>383</v>
      </c>
    </row>
    <row r="20" spans="1:6" ht="16" x14ac:dyDescent="0.2">
      <c r="A20" s="8" t="s">
        <v>82</v>
      </c>
      <c r="B20" s="10" t="s">
        <v>348</v>
      </c>
      <c r="C20" s="8" t="s">
        <v>384</v>
      </c>
      <c r="D20" s="8" t="s">
        <v>377</v>
      </c>
      <c r="E20" s="8" t="s">
        <v>385</v>
      </c>
      <c r="F20" s="9" t="s">
        <v>386</v>
      </c>
    </row>
    <row r="21" spans="1:6" ht="16" x14ac:dyDescent="0.2">
      <c r="A21" s="8" t="s">
        <v>387</v>
      </c>
      <c r="B21" s="10" t="s">
        <v>180</v>
      </c>
      <c r="C21" s="8" t="s">
        <v>388</v>
      </c>
      <c r="D21" s="8" t="s">
        <v>389</v>
      </c>
      <c r="E21" s="8" t="s">
        <v>331</v>
      </c>
      <c r="F21" s="9" t="s">
        <v>390</v>
      </c>
    </row>
    <row r="22" spans="1:6" ht="16" x14ac:dyDescent="0.2">
      <c r="A22" s="8" t="s">
        <v>387</v>
      </c>
      <c r="B22" s="10" t="s">
        <v>180</v>
      </c>
      <c r="C22" s="8" t="s">
        <v>391</v>
      </c>
      <c r="D22" s="8" t="s">
        <v>392</v>
      </c>
      <c r="E22" s="8" t="s">
        <v>335</v>
      </c>
      <c r="F22" s="9" t="s">
        <v>393</v>
      </c>
    </row>
    <row r="23" spans="1:6" ht="32" x14ac:dyDescent="0.2">
      <c r="A23" s="8" t="s">
        <v>387</v>
      </c>
      <c r="B23" s="10" t="s">
        <v>57</v>
      </c>
      <c r="C23" s="8" t="s">
        <v>394</v>
      </c>
      <c r="D23" s="8" t="s">
        <v>395</v>
      </c>
      <c r="E23" s="8" t="s">
        <v>382</v>
      </c>
      <c r="F23" s="9" t="s">
        <v>383</v>
      </c>
    </row>
    <row r="24" spans="1:6" ht="32" x14ac:dyDescent="0.2">
      <c r="A24" s="8" t="s">
        <v>387</v>
      </c>
      <c r="B24" s="10" t="s">
        <v>272</v>
      </c>
      <c r="C24" s="8" t="s">
        <v>396</v>
      </c>
      <c r="D24" s="8" t="s">
        <v>397</v>
      </c>
      <c r="E24" s="8" t="s">
        <v>398</v>
      </c>
      <c r="F24" s="9" t="s">
        <v>399</v>
      </c>
    </row>
    <row r="25" spans="1:6" ht="16" x14ac:dyDescent="0.2">
      <c r="A25" s="8" t="s">
        <v>400</v>
      </c>
      <c r="B25" s="10" t="s">
        <v>180</v>
      </c>
      <c r="C25" s="8" t="s">
        <v>401</v>
      </c>
      <c r="D25" s="8" t="s">
        <v>372</v>
      </c>
      <c r="E25" s="8" t="s">
        <v>331</v>
      </c>
      <c r="F25" s="9" t="s">
        <v>186</v>
      </c>
    </row>
    <row r="26" spans="1:6" ht="16" x14ac:dyDescent="0.2">
      <c r="A26" s="8" t="s">
        <v>400</v>
      </c>
      <c r="B26" s="10" t="s">
        <v>57</v>
      </c>
      <c r="C26" s="8" t="s">
        <v>402</v>
      </c>
      <c r="D26" s="8" t="s">
        <v>403</v>
      </c>
      <c r="E26" s="8" t="s">
        <v>382</v>
      </c>
      <c r="F26" s="9" t="s">
        <v>383</v>
      </c>
    </row>
    <row r="27" spans="1:6" ht="16" x14ac:dyDescent="0.2">
      <c r="A27" s="8" t="s">
        <v>400</v>
      </c>
      <c r="B27" s="10" t="s">
        <v>272</v>
      </c>
      <c r="C27" s="8" t="s">
        <v>404</v>
      </c>
      <c r="D27" s="8" t="s">
        <v>405</v>
      </c>
      <c r="E27" s="8" t="s">
        <v>382</v>
      </c>
      <c r="F27" s="9" t="s">
        <v>406</v>
      </c>
    </row>
    <row r="28" spans="1:6" ht="16" x14ac:dyDescent="0.2">
      <c r="A28" s="8" t="s">
        <v>407</v>
      </c>
      <c r="B28" s="10" t="s">
        <v>180</v>
      </c>
      <c r="C28" s="8" t="s">
        <v>408</v>
      </c>
      <c r="D28" s="8" t="s">
        <v>389</v>
      </c>
      <c r="E28" s="8" t="s">
        <v>331</v>
      </c>
      <c r="F28" s="9" t="s">
        <v>186</v>
      </c>
    </row>
    <row r="29" spans="1:6" ht="32" x14ac:dyDescent="0.2">
      <c r="A29" s="8" t="s">
        <v>407</v>
      </c>
      <c r="B29" s="10" t="s">
        <v>57</v>
      </c>
      <c r="C29" s="8" t="s">
        <v>409</v>
      </c>
      <c r="D29" s="8" t="s">
        <v>410</v>
      </c>
      <c r="E29" s="8" t="s">
        <v>411</v>
      </c>
      <c r="F29" s="9" t="s">
        <v>355</v>
      </c>
    </row>
    <row r="30" spans="1:6" ht="32" x14ac:dyDescent="0.2">
      <c r="A30" s="8" t="s">
        <v>407</v>
      </c>
      <c r="B30" s="10" t="s">
        <v>272</v>
      </c>
      <c r="C30" s="8" t="s">
        <v>412</v>
      </c>
      <c r="D30" s="8" t="s">
        <v>413</v>
      </c>
      <c r="E30" s="8" t="s">
        <v>414</v>
      </c>
      <c r="F30" s="9" t="s">
        <v>406</v>
      </c>
    </row>
    <row r="31" spans="1:6" ht="16" x14ac:dyDescent="0.2">
      <c r="A31" s="8" t="s">
        <v>415</v>
      </c>
      <c r="B31" s="10" t="s">
        <v>180</v>
      </c>
      <c r="C31" s="8" t="s">
        <v>416</v>
      </c>
      <c r="D31" s="8" t="s">
        <v>417</v>
      </c>
      <c r="E31" s="8" t="s">
        <v>331</v>
      </c>
      <c r="F31" s="9" t="s">
        <v>418</v>
      </c>
    </row>
    <row r="32" spans="1:6" ht="16" x14ac:dyDescent="0.2">
      <c r="A32" s="8" t="s">
        <v>415</v>
      </c>
      <c r="B32" s="10" t="s">
        <v>57</v>
      </c>
      <c r="C32" s="8" t="s">
        <v>419</v>
      </c>
      <c r="D32" s="8" t="s">
        <v>420</v>
      </c>
      <c r="E32" s="8" t="s">
        <v>331</v>
      </c>
      <c r="F32" s="9" t="s">
        <v>418</v>
      </c>
    </row>
    <row r="33" spans="1:6" ht="28" x14ac:dyDescent="0.2">
      <c r="A33" s="8" t="s">
        <v>415</v>
      </c>
      <c r="B33" s="10" t="s">
        <v>272</v>
      </c>
      <c r="C33" s="8" t="s">
        <v>421</v>
      </c>
      <c r="D33" s="8" t="s">
        <v>422</v>
      </c>
      <c r="E33" s="8" t="s">
        <v>423</v>
      </c>
      <c r="F33" s="9" t="s">
        <v>424</v>
      </c>
    </row>
    <row r="34" spans="1:6" ht="28" x14ac:dyDescent="0.2">
      <c r="A34" s="8" t="s">
        <v>425</v>
      </c>
      <c r="B34" s="10" t="s">
        <v>180</v>
      </c>
      <c r="C34" s="8" t="s">
        <v>426</v>
      </c>
      <c r="D34" s="8" t="s">
        <v>427</v>
      </c>
      <c r="E34" s="8" t="s">
        <v>331</v>
      </c>
      <c r="F34" s="9" t="s">
        <v>428</v>
      </c>
    </row>
    <row r="35" spans="1:6" ht="28" x14ac:dyDescent="0.2">
      <c r="A35" s="8" t="s">
        <v>425</v>
      </c>
      <c r="B35" s="10" t="s">
        <v>57</v>
      </c>
      <c r="C35" s="8" t="s">
        <v>429</v>
      </c>
      <c r="D35" s="8" t="s">
        <v>430</v>
      </c>
      <c r="E35" s="8" t="s">
        <v>331</v>
      </c>
      <c r="F35" s="9" t="s">
        <v>428</v>
      </c>
    </row>
    <row r="36" spans="1:6" ht="16" x14ac:dyDescent="0.2">
      <c r="A36" s="8" t="s">
        <v>119</v>
      </c>
      <c r="B36" s="10" t="s">
        <v>180</v>
      </c>
      <c r="C36" s="8" t="s">
        <v>431</v>
      </c>
      <c r="D36" s="8" t="s">
        <v>432</v>
      </c>
      <c r="E36" s="8" t="s">
        <v>331</v>
      </c>
      <c r="F36" s="9" t="s">
        <v>186</v>
      </c>
    </row>
    <row r="37" spans="1:6" ht="16" x14ac:dyDescent="0.2">
      <c r="A37" s="8" t="s">
        <v>119</v>
      </c>
      <c r="B37" s="10" t="s">
        <v>57</v>
      </c>
      <c r="C37" s="8" t="s">
        <v>433</v>
      </c>
      <c r="D37" s="8" t="s">
        <v>434</v>
      </c>
      <c r="E37" s="8" t="s">
        <v>331</v>
      </c>
      <c r="F37" s="9" t="s">
        <v>186</v>
      </c>
    </row>
    <row r="38" spans="1:6" ht="16" x14ac:dyDescent="0.2">
      <c r="A38" s="8" t="s">
        <v>119</v>
      </c>
      <c r="B38" s="10" t="s">
        <v>272</v>
      </c>
      <c r="C38" s="8" t="s">
        <v>435</v>
      </c>
      <c r="D38" s="8" t="s">
        <v>436</v>
      </c>
      <c r="E38" s="8" t="s">
        <v>437</v>
      </c>
      <c r="F38" s="9" t="s">
        <v>201</v>
      </c>
    </row>
    <row r="39" spans="1:6" ht="16" x14ac:dyDescent="0.2">
      <c r="A39" s="8" t="s">
        <v>438</v>
      </c>
      <c r="B39" s="10" t="s">
        <v>180</v>
      </c>
      <c r="C39" s="8" t="s">
        <v>439</v>
      </c>
      <c r="D39" s="8" t="s">
        <v>427</v>
      </c>
      <c r="E39" s="8" t="s">
        <v>331</v>
      </c>
      <c r="F39" s="9" t="s">
        <v>186</v>
      </c>
    </row>
    <row r="40" spans="1:6" ht="16" x14ac:dyDescent="0.2">
      <c r="A40" s="8" t="s">
        <v>438</v>
      </c>
      <c r="B40" s="10" t="s">
        <v>57</v>
      </c>
      <c r="C40" s="8" t="s">
        <v>440</v>
      </c>
      <c r="D40" s="8" t="s">
        <v>441</v>
      </c>
      <c r="E40" s="8" t="s">
        <v>331</v>
      </c>
      <c r="F40" s="9" t="s">
        <v>186</v>
      </c>
    </row>
    <row r="41" spans="1:6" ht="16" x14ac:dyDescent="0.2">
      <c r="A41" s="8" t="s">
        <v>438</v>
      </c>
      <c r="B41" s="10" t="s">
        <v>272</v>
      </c>
      <c r="C41" s="8" t="s">
        <v>442</v>
      </c>
      <c r="D41" s="8" t="s">
        <v>443</v>
      </c>
      <c r="E41" s="8" t="s">
        <v>444</v>
      </c>
      <c r="F41" s="9" t="s">
        <v>355</v>
      </c>
    </row>
    <row r="42" spans="1:6" ht="32" x14ac:dyDescent="0.2">
      <c r="A42" s="8" t="s">
        <v>445</v>
      </c>
      <c r="B42" s="10" t="s">
        <v>348</v>
      </c>
      <c r="C42" s="8" t="s">
        <v>446</v>
      </c>
      <c r="D42" s="8" t="s">
        <v>303</v>
      </c>
      <c r="E42" s="8" t="s">
        <v>447</v>
      </c>
      <c r="F42" s="9" t="s">
        <v>183</v>
      </c>
    </row>
    <row r="43" spans="1:6" ht="28" x14ac:dyDescent="0.2">
      <c r="A43" s="8" t="s">
        <v>425</v>
      </c>
      <c r="B43" s="10" t="s">
        <v>272</v>
      </c>
      <c r="C43" s="8" t="s">
        <v>448</v>
      </c>
      <c r="D43" s="8" t="s">
        <v>449</v>
      </c>
      <c r="E43" s="8" t="s">
        <v>450</v>
      </c>
      <c r="F43" s="9" t="s">
        <v>424</v>
      </c>
    </row>
  </sheetData>
  <hyperlinks>
    <hyperlink ref="F5" r:id="rId1" xr:uid="{00000000-0004-0000-0500-000000000000}"/>
    <hyperlink ref="F6" r:id="rId2" xr:uid="{00000000-0004-0000-0500-000001000000}"/>
    <hyperlink ref="F7" r:id="rId3" xr:uid="{00000000-0004-0000-0500-000002000000}"/>
    <hyperlink ref="F8" r:id="rId4" xr:uid="{00000000-0004-0000-0500-000003000000}"/>
    <hyperlink ref="F9" r:id="rId5" xr:uid="{00000000-0004-0000-0500-000004000000}"/>
    <hyperlink ref="F10" r:id="rId6" xr:uid="{00000000-0004-0000-0500-000005000000}"/>
    <hyperlink ref="F11" r:id="rId7" xr:uid="{00000000-0004-0000-0500-000006000000}"/>
    <hyperlink ref="F12" r:id="rId8" xr:uid="{00000000-0004-0000-0500-000007000000}"/>
    <hyperlink ref="F13" r:id="rId9" xr:uid="{00000000-0004-0000-0500-000008000000}"/>
    <hyperlink ref="F14" r:id="rId10" xr:uid="{00000000-0004-0000-0500-000009000000}"/>
    <hyperlink ref="F15" r:id="rId11" xr:uid="{00000000-0004-0000-0500-00000A000000}"/>
    <hyperlink ref="F16" r:id="rId12" xr:uid="{00000000-0004-0000-0500-00000B000000}"/>
    <hyperlink ref="F17" r:id="rId13" xr:uid="{00000000-0004-0000-0500-00000C000000}"/>
    <hyperlink ref="F18" r:id="rId14" xr:uid="{00000000-0004-0000-0500-00000D000000}"/>
    <hyperlink ref="F19" r:id="rId15" xr:uid="{00000000-0004-0000-0500-00000E000000}"/>
    <hyperlink ref="F20" r:id="rId16" xr:uid="{00000000-0004-0000-0500-00000F000000}"/>
    <hyperlink ref="F21" r:id="rId17" xr:uid="{00000000-0004-0000-0500-000010000000}"/>
    <hyperlink ref="F22" r:id="rId18" xr:uid="{00000000-0004-0000-0500-000011000000}"/>
    <hyperlink ref="F23" r:id="rId19" xr:uid="{00000000-0004-0000-0500-000012000000}"/>
    <hyperlink ref="F24" r:id="rId20" xr:uid="{00000000-0004-0000-0500-000013000000}"/>
    <hyperlink ref="F25" r:id="rId21" xr:uid="{00000000-0004-0000-0500-000014000000}"/>
    <hyperlink ref="F26" r:id="rId22" xr:uid="{00000000-0004-0000-0500-000015000000}"/>
    <hyperlink ref="F27" r:id="rId23" xr:uid="{00000000-0004-0000-0500-000016000000}"/>
    <hyperlink ref="F28" r:id="rId24" xr:uid="{00000000-0004-0000-0500-000017000000}"/>
    <hyperlink ref="F29" r:id="rId25" xr:uid="{00000000-0004-0000-0500-000018000000}"/>
    <hyperlink ref="F30" r:id="rId26" xr:uid="{00000000-0004-0000-0500-000019000000}"/>
    <hyperlink ref="F31" r:id="rId27" xr:uid="{00000000-0004-0000-0500-00001A000000}"/>
    <hyperlink ref="F32" r:id="rId28" xr:uid="{00000000-0004-0000-0500-00001B000000}"/>
    <hyperlink ref="F33" r:id="rId29" xr:uid="{00000000-0004-0000-0500-00001C000000}"/>
    <hyperlink ref="F34" r:id="rId30" xr:uid="{00000000-0004-0000-0500-00001D000000}"/>
    <hyperlink ref="F35" r:id="rId31" xr:uid="{00000000-0004-0000-0500-00001E000000}"/>
    <hyperlink ref="F36" r:id="rId32" xr:uid="{00000000-0004-0000-0500-00001F000000}"/>
    <hyperlink ref="F37" r:id="rId33" xr:uid="{00000000-0004-0000-0500-000020000000}"/>
    <hyperlink ref="F38" r:id="rId34" xr:uid="{00000000-0004-0000-0500-000021000000}"/>
    <hyperlink ref="F39" r:id="rId35" xr:uid="{00000000-0004-0000-0500-000022000000}"/>
    <hyperlink ref="F40" r:id="rId36" xr:uid="{00000000-0004-0000-0500-000023000000}"/>
    <hyperlink ref="F41" r:id="rId37" xr:uid="{00000000-0004-0000-0500-000024000000}"/>
    <hyperlink ref="F42" r:id="rId38" xr:uid="{00000000-0004-0000-0500-000025000000}"/>
    <hyperlink ref="F43" r:id="rId39" xr:uid="{00000000-0004-0000-0500-00002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2" width="46" customWidth="1"/>
    <col min="3" max="3" width="32" customWidth="1"/>
    <col min="4" max="4" width="60" customWidth="1"/>
    <col min="5" max="5" width="50" customWidth="1"/>
  </cols>
  <sheetData>
    <row r="1" spans="1:5" ht="17" x14ac:dyDescent="0.2">
      <c r="A1" s="2" t="s">
        <v>451</v>
      </c>
    </row>
    <row r="3" spans="1:5" x14ac:dyDescent="0.2">
      <c r="A3" s="3" t="s">
        <v>452</v>
      </c>
      <c r="B3" s="3" t="s">
        <v>453</v>
      </c>
      <c r="C3" s="3" t="s">
        <v>454</v>
      </c>
      <c r="D3" s="3" t="s">
        <v>327</v>
      </c>
      <c r="E3" s="3" t="s">
        <v>455</v>
      </c>
    </row>
    <row r="4" spans="1:5" ht="32" x14ac:dyDescent="0.2">
      <c r="A4" s="8" t="s">
        <v>456</v>
      </c>
      <c r="B4" s="8" t="s">
        <v>457</v>
      </c>
      <c r="C4" s="8" t="s">
        <v>458</v>
      </c>
      <c r="D4" s="9" t="s">
        <v>459</v>
      </c>
      <c r="E4" s="8" t="s">
        <v>460</v>
      </c>
    </row>
    <row r="5" spans="1:5" ht="16" x14ac:dyDescent="0.2">
      <c r="A5" s="8" t="s">
        <v>461</v>
      </c>
      <c r="B5" s="8" t="s">
        <v>462</v>
      </c>
      <c r="C5" s="8" t="s">
        <v>463</v>
      </c>
      <c r="D5" s="9" t="s">
        <v>464</v>
      </c>
      <c r="E5" s="8" t="s">
        <v>465</v>
      </c>
    </row>
    <row r="6" spans="1:5" ht="32" x14ac:dyDescent="0.2">
      <c r="A6" s="8" t="s">
        <v>466</v>
      </c>
      <c r="B6" s="8" t="s">
        <v>467</v>
      </c>
      <c r="C6" s="8" t="s">
        <v>468</v>
      </c>
      <c r="D6" s="9" t="s">
        <v>360</v>
      </c>
      <c r="E6" s="8" t="s">
        <v>469</v>
      </c>
    </row>
    <row r="7" spans="1:5" ht="32" x14ac:dyDescent="0.2">
      <c r="A7" s="8" t="s">
        <v>470</v>
      </c>
      <c r="B7" s="8" t="s">
        <v>471</v>
      </c>
      <c r="C7" s="8" t="s">
        <v>458</v>
      </c>
      <c r="D7" s="9" t="s">
        <v>472</v>
      </c>
      <c r="E7" s="8" t="s">
        <v>473</v>
      </c>
    </row>
    <row r="8" spans="1:5" ht="32" x14ac:dyDescent="0.2">
      <c r="A8" s="8" t="s">
        <v>474</v>
      </c>
      <c r="B8" s="8" t="s">
        <v>475</v>
      </c>
      <c r="C8" s="8" t="s">
        <v>476</v>
      </c>
      <c r="D8" s="9" t="s">
        <v>472</v>
      </c>
      <c r="E8" s="8" t="s">
        <v>477</v>
      </c>
    </row>
    <row r="9" spans="1:5" ht="32" x14ac:dyDescent="0.2">
      <c r="A9" s="8" t="s">
        <v>478</v>
      </c>
      <c r="B9" s="8" t="s">
        <v>479</v>
      </c>
      <c r="C9" s="8" t="s">
        <v>476</v>
      </c>
      <c r="D9" s="9" t="s">
        <v>472</v>
      </c>
      <c r="E9" s="8" t="s">
        <v>480</v>
      </c>
    </row>
  </sheetData>
  <hyperlinks>
    <hyperlink ref="D4" r:id="rId1" xr:uid="{00000000-0004-0000-0600-000000000000}"/>
    <hyperlink ref="D5" r:id="rId2" xr:uid="{00000000-0004-0000-0600-000001000000}"/>
    <hyperlink ref="D6" r:id="rId3" xr:uid="{00000000-0004-0000-0600-000002000000}"/>
    <hyperlink ref="D7" r:id="rId4" xr:uid="{00000000-0004-0000-0600-000003000000}"/>
    <hyperlink ref="D8" r:id="rId5" xr:uid="{00000000-0004-0000-0600-000004000000}"/>
    <hyperlink ref="D9" r:id="rId6" xr:uid="{00000000-0004-0000-06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9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3" width="60" customWidth="1"/>
    <col min="4" max="4" width="12" customWidth="1"/>
  </cols>
  <sheetData>
    <row r="1" spans="1:4" ht="17" x14ac:dyDescent="0.2">
      <c r="A1" s="2" t="s">
        <v>481</v>
      </c>
    </row>
    <row r="3" spans="1:4" x14ac:dyDescent="0.2">
      <c r="A3" s="3" t="s">
        <v>482</v>
      </c>
      <c r="B3" s="3" t="s">
        <v>483</v>
      </c>
      <c r="C3" s="3" t="s">
        <v>484</v>
      </c>
      <c r="D3" s="3" t="s">
        <v>485</v>
      </c>
    </row>
    <row r="4" spans="1:4" ht="32" x14ac:dyDescent="0.2">
      <c r="A4" s="8" t="s">
        <v>486</v>
      </c>
      <c r="B4" s="8" t="s">
        <v>487</v>
      </c>
      <c r="C4" s="8" t="s">
        <v>488</v>
      </c>
      <c r="D4" s="8" t="s">
        <v>489</v>
      </c>
    </row>
    <row r="5" spans="1:4" ht="16" x14ac:dyDescent="0.2">
      <c r="A5" s="8" t="s">
        <v>490</v>
      </c>
      <c r="B5" s="8" t="s">
        <v>491</v>
      </c>
      <c r="C5" s="8" t="s">
        <v>492</v>
      </c>
      <c r="D5" s="8" t="s">
        <v>489</v>
      </c>
    </row>
    <row r="6" spans="1:4" ht="32" x14ac:dyDescent="0.2">
      <c r="A6" s="8" t="s">
        <v>493</v>
      </c>
      <c r="B6" s="8" t="s">
        <v>494</v>
      </c>
      <c r="C6" s="8" t="s">
        <v>495</v>
      </c>
      <c r="D6" s="8" t="s">
        <v>496</v>
      </c>
    </row>
    <row r="7" spans="1:4" ht="32" x14ac:dyDescent="0.2">
      <c r="A7" s="8" t="s">
        <v>497</v>
      </c>
      <c r="B7" s="8" t="s">
        <v>498</v>
      </c>
      <c r="C7" s="8" t="s">
        <v>499</v>
      </c>
      <c r="D7" s="8" t="s">
        <v>500</v>
      </c>
    </row>
    <row r="8" spans="1:4" ht="32" x14ac:dyDescent="0.2">
      <c r="A8" s="8" t="s">
        <v>501</v>
      </c>
      <c r="B8" s="8" t="s">
        <v>502</v>
      </c>
      <c r="C8" s="8" t="s">
        <v>503</v>
      </c>
      <c r="D8" s="8" t="s">
        <v>504</v>
      </c>
    </row>
    <row r="9" spans="1:4" ht="48" x14ac:dyDescent="0.2">
      <c r="A9" s="8" t="s">
        <v>505</v>
      </c>
      <c r="B9" s="8" t="s">
        <v>506</v>
      </c>
      <c r="C9" s="8" t="s">
        <v>507</v>
      </c>
      <c r="D9" s="8" t="s">
        <v>508</v>
      </c>
    </row>
    <row r="10" spans="1:4" ht="48" x14ac:dyDescent="0.2">
      <c r="A10" s="8" t="s">
        <v>509</v>
      </c>
      <c r="B10" s="8" t="s">
        <v>510</v>
      </c>
      <c r="C10" s="8" t="s">
        <v>511</v>
      </c>
      <c r="D10" s="8" t="s">
        <v>508</v>
      </c>
    </row>
    <row r="11" spans="1:4" ht="16" x14ac:dyDescent="0.2">
      <c r="A11" s="8" t="s">
        <v>512</v>
      </c>
      <c r="B11" s="8" t="s">
        <v>513</v>
      </c>
      <c r="C11" s="8" t="s">
        <v>514</v>
      </c>
      <c r="D11" s="8" t="s">
        <v>515</v>
      </c>
    </row>
    <row r="12" spans="1:4" ht="16" x14ac:dyDescent="0.2">
      <c r="A12" s="8" t="s">
        <v>516</v>
      </c>
      <c r="B12" s="8" t="s">
        <v>517</v>
      </c>
      <c r="C12" s="8" t="s">
        <v>518</v>
      </c>
      <c r="D12" s="8" t="s">
        <v>303</v>
      </c>
    </row>
    <row r="15" spans="1:4" x14ac:dyDescent="0.2">
      <c r="A15" s="7" t="s">
        <v>519</v>
      </c>
    </row>
    <row r="16" spans="1:4" ht="15" customHeight="1" x14ac:dyDescent="0.2">
      <c r="A16" s="1" t="s">
        <v>520</v>
      </c>
      <c r="B16" s="1"/>
      <c r="C16" s="1"/>
      <c r="D16" s="1"/>
    </row>
    <row r="17" spans="1:4" ht="15" customHeight="1" x14ac:dyDescent="0.2">
      <c r="A17" s="1" t="s">
        <v>521</v>
      </c>
      <c r="B17" s="1"/>
      <c r="C17" s="1"/>
      <c r="D17" s="1"/>
    </row>
    <row r="18" spans="1:4" ht="15" customHeight="1" x14ac:dyDescent="0.2">
      <c r="A18" s="1" t="s">
        <v>522</v>
      </c>
      <c r="B18" s="1"/>
      <c r="C18" s="1"/>
      <c r="D18" s="1"/>
    </row>
    <row r="19" spans="1:4" ht="15" customHeight="1" x14ac:dyDescent="0.2">
      <c r="A19" s="1" t="s">
        <v>523</v>
      </c>
      <c r="B19" s="1"/>
      <c r="C19" s="1"/>
      <c r="D19" s="1"/>
    </row>
    <row r="20" spans="1:4" ht="15" customHeight="1" x14ac:dyDescent="0.2">
      <c r="A20" s="1" t="s">
        <v>524</v>
      </c>
      <c r="B20" s="1"/>
      <c r="C20" s="1"/>
      <c r="D20" s="1"/>
    </row>
    <row r="21" spans="1:4" ht="15" customHeight="1" x14ac:dyDescent="0.2">
      <c r="A21" s="1" t="s">
        <v>525</v>
      </c>
      <c r="B21" s="1"/>
      <c r="C21" s="1"/>
      <c r="D21" s="1"/>
    </row>
    <row r="23" spans="1:4" x14ac:dyDescent="0.2">
      <c r="A23" s="7" t="s">
        <v>526</v>
      </c>
    </row>
    <row r="24" spans="1:4" ht="15" customHeight="1" x14ac:dyDescent="0.2">
      <c r="A24" s="1" t="s">
        <v>527</v>
      </c>
      <c r="B24" s="1"/>
      <c r="C24" s="1"/>
      <c r="D24" s="1"/>
    </row>
    <row r="25" spans="1:4" ht="15" customHeight="1" x14ac:dyDescent="0.2">
      <c r="A25" s="1" t="s">
        <v>528</v>
      </c>
      <c r="B25" s="1"/>
      <c r="C25" s="1"/>
      <c r="D25" s="1"/>
    </row>
    <row r="26" spans="1:4" ht="15" customHeight="1" x14ac:dyDescent="0.2">
      <c r="A26" s="1" t="s">
        <v>529</v>
      </c>
      <c r="B26" s="1"/>
      <c r="C26" s="1"/>
      <c r="D26" s="1"/>
    </row>
    <row r="27" spans="1:4" ht="15" customHeight="1" x14ac:dyDescent="0.2">
      <c r="A27" s="1" t="s">
        <v>530</v>
      </c>
      <c r="B27" s="1"/>
      <c r="C27" s="1"/>
      <c r="D27" s="1"/>
    </row>
    <row r="28" spans="1:4" ht="15" customHeight="1" x14ac:dyDescent="0.2">
      <c r="A28" s="1" t="s">
        <v>531</v>
      </c>
      <c r="B28" s="1"/>
      <c r="C28" s="1"/>
      <c r="D28" s="1"/>
    </row>
    <row r="29" spans="1:4" ht="15" customHeight="1" x14ac:dyDescent="0.2">
      <c r="A29" s="1" t="s">
        <v>532</v>
      </c>
      <c r="B29" s="1"/>
      <c r="C29" s="1"/>
      <c r="D29" s="1"/>
    </row>
  </sheetData>
  <mergeCells count="12">
    <mergeCell ref="A28:D28"/>
    <mergeCell ref="A29:D29"/>
    <mergeCell ref="A21:D21"/>
    <mergeCell ref="A24:D24"/>
    <mergeCell ref="A25:D25"/>
    <mergeCell ref="A26:D26"/>
    <mergeCell ref="A27:D27"/>
    <mergeCell ref="A16:D16"/>
    <mergeCell ref="A17:D17"/>
    <mergeCell ref="A18:D18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4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4" customWidth="1" min="3" max="3"/>
    <col width="34" customWidth="1" min="4" max="4"/>
    <col width="7" customWidth="1" min="5" max="5"/>
    <col width="8" customWidth="1" min="6" max="6"/>
    <col width="40" customWidth="1" min="7" max="7"/>
    <col width="13" customWidth="1" min="8" max="8"/>
    <col width="13" customWidth="1" min="9" max="9"/>
    <col width="11" customWidth="1" min="10" max="10"/>
    <col width="24" customWidth="1" min="11" max="11"/>
    <col width="16" customWidth="1" min="12" max="12"/>
    <col width="40" customWidth="1" min="13" max="13"/>
    <col width="13" customWidth="1" min="14" max="14"/>
    <col width="12" customWidth="1" min="15" max="15"/>
    <col width="10" customWidth="1" min="16" max="16"/>
    <col width="40" customWidth="1" min="17" max="17"/>
  </cols>
  <sheetData>
    <row r="1">
      <c r="A1" s="40" t="inlineStr">
        <is>
          <t>ССЫЛКИ И БЕНЧМАРК ЦЕН ПО САРАТОВУ — НА КАЖДУЮ ПОЗИЦИЮ СМЕТЫ (МИН / СРЕД / МАКС)</t>
        </is>
      </c>
    </row>
    <row r="2" ht="78" customHeight="1">
      <c r="A2" s="1" t="inlineStr">
        <is>
          <t>Проверка 11.09.2026: цены и ссылки собраны из каталогов магазинов Саратова и площадок с доставкой в Саратов. «Цена найдена» — то, что реально показано на странице/в поисковой выдаче на дату проверки; «Цена в смете» — из листов 1_Ремонт / 2_Заезд (не менялась). Отклонение &gt; ±30 % выделено. Статус «уточнить» = подтверждённой цены нет, дана ссылка в каталог. Перед оплатой сверяйте цену на сайте. АВИТО: на каждую позицию есть строка «Авито Саратов» (опция ВСЕ) с готовым поиском — через Авито можно посмотреть предложения магазинов и частников по Саратову и оптимизировать стоимость относительно сметы; цены с Авито снимаются вручную (автоматическая проверка недоступна).</t>
        </is>
      </c>
    </row>
    <row r="3">
      <c r="A3" s="41" t="inlineStr">
        <is>
          <t>Строк: 442 · подтверждено: 217 · уточнить: 225 (в т. ч. 110 ссылок на поиск Авито Саратов — цены снимать вручную)</t>
        </is>
      </c>
    </row>
    <row r="5" ht="30" customHeight="1">
      <c r="A5" s="42" t="inlineStr">
        <is>
          <t>Лист</t>
        </is>
      </c>
      <c r="B5" s="42" t="inlineStr">
        <is>
          <t>№</t>
        </is>
      </c>
      <c r="C5" s="42" t="inlineStr">
        <is>
          <t>Раздел</t>
        </is>
      </c>
      <c r="D5" s="42" t="inlineStr">
        <is>
          <t>Позиция</t>
        </is>
      </c>
      <c r="E5" s="42" t="inlineStr">
        <is>
          <t>Ед.</t>
        </is>
      </c>
      <c r="F5" s="42" t="inlineStr">
        <is>
          <t>Опция</t>
        </is>
      </c>
      <c r="G5" s="42" t="inlineStr">
        <is>
          <t>Модель / вариант</t>
        </is>
      </c>
      <c r="H5" s="42" t="inlineStr">
        <is>
          <t>Цена найдена, ₽</t>
        </is>
      </c>
      <c r="I5" s="42" t="inlineStr">
        <is>
          <t>Цена в смете, ₽</t>
        </is>
      </c>
      <c r="J5" s="42" t="inlineStr">
        <is>
          <t>Отклонение, %</t>
        </is>
      </c>
      <c r="K5" s="42" t="inlineStr">
        <is>
          <t>Магазин / источник</t>
        </is>
      </c>
      <c r="L5" s="42" t="inlineStr">
        <is>
          <t>Город</t>
        </is>
      </c>
      <c r="M5" s="42" t="inlineStr">
        <is>
          <t>Ссылка</t>
        </is>
      </c>
      <c r="N5" s="42" t="inlineStr">
        <is>
          <t>Подтверждение</t>
        </is>
      </c>
      <c r="O5" s="42" t="inlineStr">
        <is>
          <t>Дата проверки</t>
        </is>
      </c>
      <c r="P5" s="42" t="inlineStr">
        <is>
          <t>Статус</t>
        </is>
      </c>
      <c r="Q5" s="42" t="inlineStr">
        <is>
          <t>Комментарий</t>
        </is>
      </c>
    </row>
    <row r="6">
      <c r="A6" s="1" t="inlineStr">
        <is>
          <t>1_Ремонт</t>
        </is>
      </c>
      <c r="B6" s="1" t="n">
        <v>1</v>
      </c>
      <c r="C6" s="1" t="inlineStr">
        <is>
          <t>1. Пол</t>
        </is>
      </c>
      <c r="D6" s="1" t="inlineStr">
        <is>
          <t>Напольное покрытие (ламинат / SPC)</t>
        </is>
      </c>
      <c r="E6" s="1" t="inlineStr">
        <is>
          <t>м²</t>
        </is>
      </c>
      <c r="F6" s="1" t="inlineStr">
        <is>
          <t>МИН</t>
        </is>
      </c>
      <c r="G6" s="1" t="inlineStr">
        <is>
          <t>Ламинат ELEGANTE Дуб Сидамо, 33 кл (Профком)</t>
        </is>
      </c>
      <c r="H6" s="43" t="n">
        <v>591</v>
      </c>
      <c r="I6" s="43" t="n">
        <v>700</v>
      </c>
      <c r="J6" s="44" t="n">
        <v>-15.6</v>
      </c>
      <c r="K6" s="1" t="inlineStr">
        <is>
          <t>Профком Саратов</t>
        </is>
      </c>
      <c r="L6" s="1" t="inlineStr">
        <is>
          <t>Саратов</t>
        </is>
      </c>
      <c r="M6" s="45" t="inlineStr">
        <is>
          <t>https://www.profkom64.ru/product/napolnie_pokritiya/laminat-33-klass/</t>
        </is>
      </c>
      <c r="N6" s="1" t="inlineStr">
        <is>
          <t>страница</t>
        </is>
      </c>
      <c r="O6" s="1" t="inlineStr">
        <is>
          <t>2026-09-11</t>
        </is>
      </c>
      <c r="P6" s="46" t="inlineStr">
        <is>
          <t>ок</t>
        </is>
      </c>
      <c r="Q6" s="1" t="inlineStr">
        <is>
          <t>Дешевле сметного 32 кл; Floorpan Lagoon 705 ₽/м², Egger 735–746 ₽/м² там же</t>
        </is>
      </c>
    </row>
    <row r="7">
      <c r="A7" s="1" t="inlineStr">
        <is>
          <t>1_Ремонт</t>
        </is>
      </c>
      <c r="B7" s="1" t="n">
        <v>1</v>
      </c>
      <c r="C7" s="1" t="inlineStr">
        <is>
          <t>1. Пол</t>
        </is>
      </c>
      <c r="D7" s="1" t="inlineStr">
        <is>
          <t>Напольное покрытие (ламинат / SPC)</t>
        </is>
      </c>
      <c r="E7" s="1" t="inlineStr">
        <is>
          <t>м²</t>
        </is>
      </c>
      <c r="F7" s="1" t="inlineStr">
        <is>
          <t>СРЕД</t>
        </is>
      </c>
      <c r="G7" s="1" t="inlineStr">
        <is>
          <t>Ламинат Aberhof Storm 8 мм, 33 кл, фаска V4</t>
        </is>
      </c>
      <c r="H7" s="43" t="n">
        <v>1060</v>
      </c>
      <c r="I7" s="43" t="n">
        <v>1150</v>
      </c>
      <c r="J7" s="44" t="n">
        <v>-7.8</v>
      </c>
      <c r="K7" s="1" t="inlineStr">
        <is>
          <t>Профком Саратов</t>
        </is>
      </c>
      <c r="L7" s="1" t="inlineStr">
        <is>
          <t>Саратов</t>
        </is>
      </c>
      <c r="M7" s="45" t="inlineStr">
        <is>
          <t>https://www.profkom64.ru/product/napolnie_pokritiya/laminat-33-klass/</t>
        </is>
      </c>
      <c r="N7" s="1" t="inlineStr">
        <is>
          <t>страница</t>
        </is>
      </c>
      <c r="O7" s="1" t="inlineStr">
        <is>
          <t>2026-09-11</t>
        </is>
      </c>
      <c r="P7" s="46" t="inlineStr">
        <is>
          <t>ок</t>
        </is>
      </c>
      <c r="Q7" s="1" t="inlineStr">
        <is>
          <t>Kastamonu Sunfloor 1094; Aberhof Cruise 10 мм 1342; Tarkett Pilot 10 мм 1845 ₽/м²</t>
        </is>
      </c>
    </row>
    <row r="8">
      <c r="A8" s="1" t="inlineStr">
        <is>
          <t>1_Ремонт</t>
        </is>
      </c>
      <c r="B8" s="1" t="n">
        <v>1</v>
      </c>
      <c r="C8" s="1" t="inlineStr">
        <is>
          <t>1. Пол</t>
        </is>
      </c>
      <c r="D8" s="1" t="inlineStr">
        <is>
          <t>Напольное покрытие (ламинат / SPC)</t>
        </is>
      </c>
      <c r="E8" s="1" t="inlineStr">
        <is>
          <t>м²</t>
        </is>
      </c>
      <c r="F8" s="1" t="inlineStr">
        <is>
          <t>МАКС</t>
        </is>
      </c>
      <c r="G8" s="1" t="inlineStr">
        <is>
          <t>SPC Akplast Royce Ultima 4,5 мм</t>
        </is>
      </c>
      <c r="H8" s="43" t="n">
        <v>2050</v>
      </c>
      <c r="I8" s="43" t="n">
        <v>2300</v>
      </c>
      <c r="J8" s="44" t="n">
        <v>-10.9</v>
      </c>
      <c r="K8" s="1" t="inlineStr">
        <is>
          <t>Паркет73 Саратов</t>
        </is>
      </c>
      <c r="L8" s="1" t="inlineStr">
        <is>
          <t>Саратов</t>
        </is>
      </c>
      <c r="M8" s="45" t="inlineStr">
        <is>
          <t>https://saratov.parket73.ru/spc-laminat/</t>
        </is>
      </c>
      <c r="N8" s="1" t="inlineStr">
        <is>
          <t>страница</t>
        </is>
      </c>
      <c r="O8" s="1" t="inlineStr">
        <is>
          <t>2026-09-11</t>
        </is>
      </c>
      <c r="P8" s="46" t="inlineStr">
        <is>
          <t>ок</t>
        </is>
      </c>
      <c r="Q8" s="1" t="inlineStr">
        <is>
          <t>Класс износостойкости на странице не показан; Tarkett Blackwood Stone 4,4 мм 1799; Олимп Паркета Calitex Elementals 2370 ₽/м² (https://saratov.olimp-parketa.ru/catalog/kvarc-vinilovyy-laminat/)</t>
        </is>
      </c>
    </row>
    <row r="9">
      <c r="A9" s="1" t="inlineStr">
        <is>
          <t>1_Ремонт</t>
        </is>
      </c>
      <c r="B9" s="1" t="n">
        <v>1</v>
      </c>
      <c r="C9" s="1" t="inlineStr">
        <is>
          <t>1. Пол</t>
        </is>
      </c>
      <c r="D9" s="1" t="inlineStr">
        <is>
          <t>Напольное покрытие (ламинат / SPC)</t>
        </is>
      </c>
      <c r="E9" s="1" t="inlineStr">
        <is>
          <t>м²</t>
        </is>
      </c>
      <c r="F9" s="1" t="inlineStr">
        <is>
          <t>ВСЕ</t>
        </is>
      </c>
      <c r="G9" s="1" t="inlineStr">
        <is>
          <t>Авито Саратов — поиск «Напольное покрытие» (новые товары магазинов и объявления)</t>
        </is>
      </c>
      <c r="H9" s="43" t="n"/>
      <c r="I9" s="43" t="n"/>
      <c r="J9" s="44" t="n"/>
      <c r="K9" s="1" t="inlineStr">
        <is>
          <t>Авито Саратов</t>
        </is>
      </c>
      <c r="L9" s="1" t="inlineStr">
        <is>
          <t>Саратов</t>
        </is>
      </c>
      <c r="M9" s="45" t="inlineStr">
        <is>
          <t>https://www.avito.ru/saratov?q=%D0%9D%D0%B0%D0%BF%D0%BE%D0%BB%D1%8C%D0%BD%D0%BE%D0%B5%20%D0%BF%D0%BE%D0%BA%D1%80%D1%8B%D1%82%D0%B8%D0%B5</t>
        </is>
      </c>
      <c r="N9" s="1" t="inlineStr">
        <is>
          <t>не проверено</t>
        </is>
      </c>
      <c r="O9" s="1" t="inlineStr">
        <is>
          <t>2026-09-11</t>
        </is>
      </c>
      <c r="P9" s="47" t="inlineStr">
        <is>
          <t>уточнить</t>
        </is>
      </c>
      <c r="Q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0">
      <c r="A10" s="1" t="inlineStr">
        <is>
          <t>1_Ремонт</t>
        </is>
      </c>
      <c r="B10" s="1" t="n">
        <v>2</v>
      </c>
      <c r="C10" s="1" t="inlineStr">
        <is>
          <t>1. Пол</t>
        </is>
      </c>
      <c r="D10" s="1" t="inlineStr">
        <is>
          <t>Подложка</t>
        </is>
      </c>
      <c r="E10" s="1" t="inlineStr">
        <is>
          <t>м²</t>
        </is>
      </c>
      <c r="F10" s="1" t="inlineStr">
        <is>
          <t>МИН</t>
        </is>
      </c>
      <c r="G10" s="1" t="inlineStr">
        <is>
          <t>НПЭ (вспененный ПЭ) 2 мм, рулон шир. 1,05 м</t>
        </is>
      </c>
      <c r="H10" s="43" t="n">
        <v>15.3</v>
      </c>
      <c r="I10" s="43" t="n">
        <v>100</v>
      </c>
      <c r="J10" s="48" t="n">
        <v>-84.7</v>
      </c>
      <c r="K10" s="1" t="inlineStr">
        <is>
          <t>Профком Саратов</t>
        </is>
      </c>
      <c r="L10" s="1" t="inlineStr">
        <is>
          <t>Саратов</t>
        </is>
      </c>
      <c r="M10" s="45" t="inlineStr">
        <is>
          <t>https://www.profkom64.ru/product/napolnie_pokritiya/podlozhka_pod_laminat_linoleum_parket/</t>
        </is>
      </c>
      <c r="N10" s="1" t="inlineStr">
        <is>
          <t>страница</t>
        </is>
      </c>
      <c r="O10" s="1" t="inlineStr">
        <is>
          <t>2026-09-11</t>
        </is>
      </c>
      <c r="P10" s="46" t="inlineStr">
        <is>
          <t>ок</t>
        </is>
      </c>
      <c r="Q10" s="1" t="inlineStr">
        <is>
          <t>16,10 ₽/п.м при ширине 1,05 м = 15,3 ₽/м²; смета завышена в 6 раз</t>
        </is>
      </c>
    </row>
    <row r="11">
      <c r="A11" s="1" t="inlineStr">
        <is>
          <t>1_Ремонт</t>
        </is>
      </c>
      <c r="B11" s="1" t="n">
        <v>2</v>
      </c>
      <c r="C11" s="1" t="inlineStr">
        <is>
          <t>1. Пол</t>
        </is>
      </c>
      <c r="D11" s="1" t="inlineStr">
        <is>
          <t>Подложка</t>
        </is>
      </c>
      <c r="E11" s="1" t="inlineStr">
        <is>
          <t>м²</t>
        </is>
      </c>
      <c r="F11" s="1" t="inlineStr">
        <is>
          <t>СРЕД</t>
        </is>
      </c>
      <c r="G11" s="1" t="inlineStr">
        <is>
          <t>XPS 3 мм (гармошка) / Arbiton</t>
        </is>
      </c>
      <c r="H11" s="43" t="n"/>
      <c r="I11" s="43" t="n">
        <v>200</v>
      </c>
      <c r="J11" s="44" t="n"/>
      <c r="K11" s="1" t="inlineStr">
        <is>
          <t>Профком Саратов</t>
        </is>
      </c>
      <c r="L11" s="1" t="inlineStr">
        <is>
          <t>Саратов</t>
        </is>
      </c>
      <c r="M11" s="45" t="inlineStr">
        <is>
          <t>https://www.profkom64.ru/product/napolnie_pokritiya/podlozhka_pod_laminat_linoleum_parket/</t>
        </is>
      </c>
      <c r="N11" s="1" t="inlineStr">
        <is>
          <t>не проверено</t>
        </is>
      </c>
      <c r="O11" s="1" t="inlineStr">
        <is>
          <t>2026-09-11</t>
        </is>
      </c>
      <c r="P11" s="47" t="inlineStr">
        <is>
          <t>уточнить</t>
        </is>
      </c>
      <c r="Q11" s="1" t="inlineStr">
        <is>
          <t>Гармошка 3 мм 398 ₽/упак — площадь упаковки на странице не указана; Arbiton XPS 3 мм по сниппетам 432–1085 ₽ без подтверждённой единицы; НПЭ 3 мм 24,20 ₽/п.м (=23 ₽/м²)</t>
        </is>
      </c>
    </row>
    <row r="12">
      <c r="A12" s="1" t="inlineStr">
        <is>
          <t>1_Ремонт</t>
        </is>
      </c>
      <c r="B12" s="1" t="n">
        <v>2</v>
      </c>
      <c r="C12" s="1" t="inlineStr">
        <is>
          <t>1. Пол</t>
        </is>
      </c>
      <c r="D12" s="1" t="inlineStr">
        <is>
          <t>Подложка</t>
        </is>
      </c>
      <c r="E12" s="1" t="inlineStr">
        <is>
          <t>м²</t>
        </is>
      </c>
      <c r="F12" s="1" t="inlineStr">
        <is>
          <t>МАКС</t>
        </is>
      </c>
      <c r="G12" s="1" t="inlineStr">
        <is>
          <t>Пробковая подложка 2 мм, рулон 10×1 м</t>
        </is>
      </c>
      <c r="H12" s="43" t="n">
        <v>413</v>
      </c>
      <c r="I12" s="43" t="n">
        <v>350</v>
      </c>
      <c r="J12" s="44" t="n">
        <v>18</v>
      </c>
      <c r="K12" s="1" t="inlineStr">
        <is>
          <t>Профком Саратов</t>
        </is>
      </c>
      <c r="L12" s="1" t="inlineStr">
        <is>
          <t>Саратов</t>
        </is>
      </c>
      <c r="M12" s="45" t="inlineStr">
        <is>
          <t>https://www.profkom64.ru/product/napolnie_pokritiya/podlozhka_pod_laminat_linoleum_parket/</t>
        </is>
      </c>
      <c r="N12" s="1" t="inlineStr">
        <is>
          <t>страница</t>
        </is>
      </c>
      <c r="O12" s="1" t="inlineStr">
        <is>
          <t>2026-09-11</t>
        </is>
      </c>
      <c r="P12" s="46" t="inlineStr">
        <is>
          <t>ок</t>
        </is>
      </c>
      <c r="Q12" s="1" t="inlineStr">
        <is>
          <t>4 131 ₽/рулон 10 м² = 413 ₽/м²; Solid PROtector Thermo SPC 1 мм 824 ₽/рулон и гармошка SPC/LVT 1,5 мм 862 ₽/упак — площадь не указана</t>
        </is>
      </c>
    </row>
    <row r="13">
      <c r="A13" s="1" t="inlineStr">
        <is>
          <t>1_Ремонт</t>
        </is>
      </c>
      <c r="B13" s="1" t="n">
        <v>2</v>
      </c>
      <c r="C13" s="1" t="inlineStr">
        <is>
          <t>1. Пол</t>
        </is>
      </c>
      <c r="D13" s="1" t="inlineStr">
        <is>
          <t>Подложка</t>
        </is>
      </c>
      <c r="E13" s="1" t="inlineStr">
        <is>
          <t>м²</t>
        </is>
      </c>
      <c r="F13" s="1" t="inlineStr">
        <is>
          <t>ВСЕ</t>
        </is>
      </c>
      <c r="G13" s="1" t="inlineStr">
        <is>
          <t>Авито Саратов — поиск «Подложка» (новые товары магазинов и объявления)</t>
        </is>
      </c>
      <c r="H13" s="43" t="n"/>
      <c r="I13" s="43" t="n"/>
      <c r="J13" s="44" t="n"/>
      <c r="K13" s="1" t="inlineStr">
        <is>
          <t>Авито Саратов</t>
        </is>
      </c>
      <c r="L13" s="1" t="inlineStr">
        <is>
          <t>Саратов</t>
        </is>
      </c>
      <c r="M13" s="45" t="inlineStr">
        <is>
          <t>https://www.avito.ru/saratov?q=%D0%9F%D0%BE%D0%B4%D0%BB%D0%BE%D0%B6%D0%BA%D0%B0</t>
        </is>
      </c>
      <c r="N13" s="1" t="inlineStr">
        <is>
          <t>не проверено</t>
        </is>
      </c>
      <c r="O13" s="1" t="inlineStr">
        <is>
          <t>2026-09-11</t>
        </is>
      </c>
      <c r="P13" s="47" t="inlineStr">
        <is>
          <t>уточнить</t>
        </is>
      </c>
      <c r="Q1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4">
      <c r="A14" s="1" t="inlineStr">
        <is>
          <t>1_Ремонт</t>
        </is>
      </c>
      <c r="B14" s="1" t="n">
        <v>3</v>
      </c>
      <c r="C14" s="1" t="inlineStr">
        <is>
          <t>1. Пол</t>
        </is>
      </c>
      <c r="D14" s="1" t="inlineStr">
        <is>
          <t>Плёнка пароизоляция 200 мкм</t>
        </is>
      </c>
      <c r="E14" s="1" t="inlineStr">
        <is>
          <t>м²</t>
        </is>
      </c>
      <c r="F14" s="1" t="inlineStr">
        <is>
          <t>МИН</t>
        </is>
      </c>
      <c r="G14" s="1" t="inlineStr">
        <is>
          <t>Плёнка полиэтиленовая 200 мкм (категория)</t>
        </is>
      </c>
      <c r="H14" s="43" t="n">
        <v>14</v>
      </c>
      <c r="I14" s="43" t="n">
        <v>30</v>
      </c>
      <c r="J14" s="48" t="n">
        <v>-53.3</v>
      </c>
      <c r="K14" s="1" t="inlineStr">
        <is>
          <t>Бикра-М (Москва)</t>
        </is>
      </c>
      <c r="L14" s="1" t="inlineStr">
        <is>
          <t>доставка в Саратов</t>
        </is>
      </c>
      <c r="M14" s="45" t="inlineStr">
        <is>
          <t>https://bikra-m.ru/guard/plenka-ograzhdeniya-i-ukrytiya/plenka/200-mkm/</t>
        </is>
      </c>
      <c r="N14" s="1" t="inlineStr">
        <is>
          <t>сниппет</t>
        </is>
      </c>
      <c r="O14" s="1" t="inlineStr">
        <is>
          <t>2026-09-11</t>
        </is>
      </c>
      <c r="P14" s="47" t="inlineStr">
        <is>
          <t>уточнить</t>
        </is>
      </c>
      <c r="Q14" s="1" t="inlineStr">
        <is>
          <t>«от 14 ₽/м²» в заголовке; московский поставщик, доставка в Саратов не проверена</t>
        </is>
      </c>
    </row>
    <row r="15">
      <c r="A15" s="1" t="inlineStr">
        <is>
          <t>1_Ремонт</t>
        </is>
      </c>
      <c r="B15" s="1" t="n">
        <v>3</v>
      </c>
      <c r="C15" s="1" t="inlineStr">
        <is>
          <t>1. Пол</t>
        </is>
      </c>
      <c r="D15" s="1" t="inlineStr">
        <is>
          <t>Плёнка пароизоляция 200 мкм</t>
        </is>
      </c>
      <c r="E15" s="1" t="inlineStr">
        <is>
          <t>м²</t>
        </is>
      </c>
      <c r="F15" s="1" t="inlineStr">
        <is>
          <t>СРЕД</t>
        </is>
      </c>
      <c r="G15" s="1" t="inlineStr">
        <is>
          <t>Плёнка п/э 200 мк прозрачная, рулон 100 м</t>
        </is>
      </c>
      <c r="H15" s="43" t="n"/>
      <c r="I15" s="43" t="n">
        <v>40</v>
      </c>
      <c r="J15" s="44" t="n"/>
      <c r="K15" s="1" t="inlineStr">
        <is>
          <t>Профком Саратов</t>
        </is>
      </c>
      <c r="L15" s="1" t="inlineStr">
        <is>
          <t>Саратов</t>
        </is>
      </c>
      <c r="M15" s="45" t="inlineStr">
        <is>
          <t>https://www.profkom64.ru/product/utepliteli/paroizol_plenka/plenka_200_prozrachnaya.html</t>
        </is>
      </c>
      <c r="N15" s="1" t="inlineStr">
        <is>
          <t>сниппет</t>
        </is>
      </c>
      <c r="O15" s="1" t="inlineStr">
        <is>
          <t>2026-09-11</t>
        </is>
      </c>
      <c r="P15" s="47" t="inlineStr">
        <is>
          <t>уточнить</t>
        </is>
      </c>
      <c r="Q15" s="1" t="inlineStr">
        <is>
          <t>72 ₽/п.м по сниппету; ширина рулона не указана (при рукаве 1,5 м ≈ 24 ₽/м² — допущение)</t>
        </is>
      </c>
    </row>
    <row r="16">
      <c r="A16" s="1" t="inlineStr">
        <is>
          <t>1_Ремонт</t>
        </is>
      </c>
      <c r="B16" s="1" t="n">
        <v>3</v>
      </c>
      <c r="C16" s="1" t="inlineStr">
        <is>
          <t>1. Пол</t>
        </is>
      </c>
      <c r="D16" s="1" t="inlineStr">
        <is>
          <t>Плёнка пароизоляция 200 мкм</t>
        </is>
      </c>
      <c r="E16" s="1" t="inlineStr">
        <is>
          <t>м²</t>
        </is>
      </c>
      <c r="F16" s="1" t="inlineStr">
        <is>
          <t>МАКС</t>
        </is>
      </c>
      <c r="G16" s="1" t="inlineStr">
        <is>
          <t>Плёнки строительные 200 мкм (категория)</t>
        </is>
      </c>
      <c r="H16" s="43" t="n"/>
      <c r="I16" s="43" t="n">
        <v>40</v>
      </c>
      <c r="J16" s="44" t="n"/>
      <c r="K16" s="1" t="inlineStr">
        <is>
          <t>Лемана ПРО</t>
        </is>
      </c>
      <c r="L16" s="1" t="inlineStr">
        <is>
          <t>доставка в Саратов</t>
        </is>
      </c>
      <c r="M16" s="45" t="inlineStr">
        <is>
          <t>https://lemanapro.ru/catalogue/plenki-stroitelnye/200-mkm/</t>
        </is>
      </c>
      <c r="N16" s="1" t="inlineStr">
        <is>
          <t>сниппет</t>
        </is>
      </c>
      <c r="O16" s="1" t="inlineStr">
        <is>
          <t>2026-09-11</t>
        </is>
      </c>
      <c r="P16" s="47" t="inlineStr">
        <is>
          <t>уточнить</t>
        </is>
      </c>
      <c r="Q16" s="1" t="inlineStr">
        <is>
          <t>Каталог «от 581 ₽» за рулон, размер рулона не указан; саратовский каталог блокирует доступ (401)</t>
        </is>
      </c>
    </row>
    <row r="17">
      <c r="A17" s="1" t="inlineStr">
        <is>
          <t>1_Ремонт</t>
        </is>
      </c>
      <c r="B17" s="1" t="n">
        <v>3</v>
      </c>
      <c r="C17" s="1" t="inlineStr">
        <is>
          <t>1. Пол</t>
        </is>
      </c>
      <c r="D17" s="1" t="inlineStr">
        <is>
          <t>Плёнка пароизоляция 200 мкм</t>
        </is>
      </c>
      <c r="E17" s="1" t="inlineStr">
        <is>
          <t>м²</t>
        </is>
      </c>
      <c r="F17" s="1" t="inlineStr">
        <is>
          <t>ВСЕ</t>
        </is>
      </c>
      <c r="G17" s="1" t="inlineStr">
        <is>
          <t>Авито Саратов — поиск «Плёнка пароизоляция 200 мкм» (новые товары магазинов и объявления)</t>
        </is>
      </c>
      <c r="H17" s="43" t="n"/>
      <c r="I17" s="43" t="n"/>
      <c r="J17" s="44" t="n"/>
      <c r="K17" s="1" t="inlineStr">
        <is>
          <t>Авито Саратов</t>
        </is>
      </c>
      <c r="L17" s="1" t="inlineStr">
        <is>
          <t>Саратов</t>
        </is>
      </c>
      <c r="M17" s="45" t="inlineStr">
        <is>
          <t>https://www.avito.ru/saratov?q=%D0%9F%D0%BB%D1%91%D0%BD%D0%BA%D0%B0%20%D0%BF%D0%B0%D1%80%D0%BE%D0%B8%D0%B7%D0%BE%D0%BB%D1%8F%D1%86%D0%B8%D1%8F%20200%20%D0%BC%D0%BA%D0%BC</t>
        </is>
      </c>
      <c r="N17" s="1" t="inlineStr">
        <is>
          <t>не проверено</t>
        </is>
      </c>
      <c r="O17" s="1" t="inlineStr">
        <is>
          <t>2026-09-11</t>
        </is>
      </c>
      <c r="P17" s="47" t="inlineStr">
        <is>
          <t>уточнить</t>
        </is>
      </c>
      <c r="Q1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8">
      <c r="A18" s="1" t="inlineStr">
        <is>
          <t>1_Ремонт</t>
        </is>
      </c>
      <c r="B18" s="1" t="n">
        <v>4</v>
      </c>
      <c r="C18" s="1" t="inlineStr">
        <is>
          <t>1. Пол</t>
        </is>
      </c>
      <c r="D18" s="1" t="inlineStr">
        <is>
          <t>Плинтус напольный</t>
        </is>
      </c>
      <c r="E18" s="1" t="inlineStr">
        <is>
          <t>п.м</t>
        </is>
      </c>
      <c r="F18" s="1" t="inlineStr">
        <is>
          <t>МИН</t>
        </is>
      </c>
      <c r="G18" s="1" t="inlineStr">
        <is>
          <t>ПВХ Идеал Комфорт 55 мм с кабель-каналом</t>
        </is>
      </c>
      <c r="H18" s="43" t="n">
        <v>85</v>
      </c>
      <c r="I18" s="43" t="n">
        <v>130</v>
      </c>
      <c r="J18" s="48" t="n">
        <v>-34.6</v>
      </c>
      <c r="K18" s="1" t="inlineStr">
        <is>
          <t>Профком (Энгельс/Саратов)</t>
        </is>
      </c>
      <c r="L18" s="1" t="inlineStr">
        <is>
          <t>Саратов</t>
        </is>
      </c>
      <c r="M18" s="45" t="inlineStr">
        <is>
          <t>https://engels.profkom64.ru/product/napolnie_pokritiya/plintus/</t>
        </is>
      </c>
      <c r="N18" s="1" t="inlineStr">
        <is>
          <t>страница</t>
        </is>
      </c>
      <c r="O18" s="1" t="inlineStr">
        <is>
          <t>2026-09-11</t>
        </is>
      </c>
      <c r="P18" s="47" t="inlineStr">
        <is>
          <t>уточнить</t>
        </is>
      </c>
      <c r="Q18" s="1" t="inlineStr">
        <is>
          <t>73–85 ₽/шт; длина хлыста на странице не указана (обычно 2,5 м ≈ 34 ₽/п.м — допущение); заглушки 29–45 ₽/пара</t>
        </is>
      </c>
    </row>
    <row r="19">
      <c r="A19" s="1" t="inlineStr">
        <is>
          <t>1_Ремонт</t>
        </is>
      </c>
      <c r="B19" s="1" t="n">
        <v>4</v>
      </c>
      <c r="C19" s="1" t="inlineStr">
        <is>
          <t>1. Пол</t>
        </is>
      </c>
      <c r="D19" s="1" t="inlineStr">
        <is>
          <t>Плинтус напольный</t>
        </is>
      </c>
      <c r="E19" s="1" t="inlineStr">
        <is>
          <t>п.м</t>
        </is>
      </c>
      <c r="F19" s="1" t="inlineStr">
        <is>
          <t>СРЕД</t>
        </is>
      </c>
      <c r="G19" s="1" t="inlineStr">
        <is>
          <t>Дюрополимер Decomaster A036 100×16 под покраску</t>
        </is>
      </c>
      <c r="H19" s="43" t="n">
        <v>339</v>
      </c>
      <c r="I19" s="43" t="n">
        <v>350</v>
      </c>
      <c r="J19" s="44" t="n">
        <v>-3.1</v>
      </c>
      <c r="K19" s="1" t="inlineStr">
        <is>
          <t>Про-плинтус.ру</t>
        </is>
      </c>
      <c r="L19" s="1" t="inlineStr">
        <is>
          <t>доставка в Саратов</t>
        </is>
      </c>
      <c r="M19" s="45" t="inlineStr">
        <is>
          <t>https://pro-plintys.ru/a036plintusartprofilnapolnyyizdyuropolimerapodpokrasku100x16</t>
        </is>
      </c>
      <c r="N19" s="1" t="inlineStr">
        <is>
          <t>сниппет</t>
        </is>
      </c>
      <c r="O19" s="1" t="inlineStr">
        <is>
          <t>2026-09-11</t>
        </is>
      </c>
      <c r="P19" s="46" t="inlineStr">
        <is>
          <t>ок</t>
        </is>
      </c>
      <c r="Q19" s="1" t="inlineStr">
        <is>
          <t>339 ₽/м (хлыст 2 м); МДФ в Лемана ПРО «от 368 ₽» (единица не указана), polvdome МДФ от 150 ₽/п.м</t>
        </is>
      </c>
    </row>
    <row r="20">
      <c r="A20" s="1" t="inlineStr">
        <is>
          <t>1_Ремонт</t>
        </is>
      </c>
      <c r="B20" s="1" t="n">
        <v>4</v>
      </c>
      <c r="C20" s="1" t="inlineStr">
        <is>
          <t>1. Пол</t>
        </is>
      </c>
      <c r="D20" s="1" t="inlineStr">
        <is>
          <t>Плинтус напольный</t>
        </is>
      </c>
      <c r="E20" s="1" t="inlineStr">
        <is>
          <t>п.м</t>
        </is>
      </c>
      <c r="F20" s="1" t="inlineStr">
        <is>
          <t>МАКС</t>
        </is>
      </c>
      <c r="G20" s="1" t="inlineStr">
        <is>
          <t>Скрытый (теневой) алюминиевый плинтус</t>
        </is>
      </c>
      <c r="H20" s="43" t="n"/>
      <c r="I20" s="43" t="n">
        <v>800</v>
      </c>
      <c r="J20" s="44" t="n"/>
      <c r="K20" s="1" t="inlineStr">
        <is>
          <t>Лемана ПРО</t>
        </is>
      </c>
      <c r="L20" s="1" t="inlineStr">
        <is>
          <t>доставка в Саратов</t>
        </is>
      </c>
      <c r="M20" s="45" t="inlineStr">
        <is>
          <t>https://lemanapro.ru/catalogue/napolnye-plintusy/tenevye/</t>
        </is>
      </c>
      <c r="N20" s="1" t="inlineStr">
        <is>
          <t>сниппет</t>
        </is>
      </c>
      <c r="O20" s="1" t="inlineStr">
        <is>
          <t>2026-09-11</t>
        </is>
      </c>
      <c r="P20" s="47" t="inlineStr">
        <is>
          <t>уточнить</t>
        </is>
      </c>
      <c r="Q20" s="1" t="inlineStr">
        <is>
          <t>Каталог «от 800 ₽», единица (шт/п.м) не указана; adv-parket теневой «от 560 ₽»; pro-plintus FD-04.1 42×14×2500 без цены в сниппете</t>
        </is>
      </c>
    </row>
    <row r="21">
      <c r="A21" s="1" t="inlineStr">
        <is>
          <t>1_Ремонт</t>
        </is>
      </c>
      <c r="B21" s="1" t="n">
        <v>4</v>
      </c>
      <c r="C21" s="1" t="inlineStr">
        <is>
          <t>1. Пол</t>
        </is>
      </c>
      <c r="D21" s="1" t="inlineStr">
        <is>
          <t>Плинтус напольный</t>
        </is>
      </c>
      <c r="E21" s="1" t="inlineStr">
        <is>
          <t>п.м</t>
        </is>
      </c>
      <c r="F21" s="1" t="inlineStr">
        <is>
          <t>ВСЕ</t>
        </is>
      </c>
      <c r="G21" s="1" t="inlineStr">
        <is>
          <t>Авито Саратов — поиск «Плинтус напольный» (новые товары магазинов и объявления)</t>
        </is>
      </c>
      <c r="H21" s="43" t="n"/>
      <c r="I21" s="43" t="n"/>
      <c r="J21" s="44" t="n"/>
      <c r="K21" s="1" t="inlineStr">
        <is>
          <t>Авито Саратов</t>
        </is>
      </c>
      <c r="L21" s="1" t="inlineStr">
        <is>
          <t>Саратов</t>
        </is>
      </c>
      <c r="M21" s="45" t="inlineStr">
        <is>
          <t>https://www.avito.ru/saratov?q=%D0%9F%D0%BB%D0%B8%D0%BD%D1%82%D1%83%D1%81%20%D0%BD%D0%B0%D0%BF%D0%BE%D0%BB%D1%8C%D0%BD%D1%8B%D0%B9</t>
        </is>
      </c>
      <c r="N21" s="1" t="inlineStr">
        <is>
          <t>не проверено</t>
        </is>
      </c>
      <c r="O21" s="1" t="inlineStr">
        <is>
          <t>2026-09-11</t>
        </is>
      </c>
      <c r="P21" s="47" t="inlineStr">
        <is>
          <t>уточнить</t>
        </is>
      </c>
      <c r="Q2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2">
      <c r="A22" s="1" t="inlineStr">
        <is>
          <t>1_Ремонт</t>
        </is>
      </c>
      <c r="B22" s="1" t="n">
        <v>5</v>
      </c>
      <c r="C22" s="1" t="inlineStr">
        <is>
          <t>1. Пол</t>
        </is>
      </c>
      <c r="D22" s="1" t="inlineStr">
        <is>
          <t>Порожки, стыки плитка–ламинат</t>
        </is>
      </c>
      <c r="E22" s="1" t="inlineStr">
        <is>
          <t>компл</t>
        </is>
      </c>
      <c r="F22" s="1" t="inlineStr">
        <is>
          <t>МИН</t>
        </is>
      </c>
      <c r="G22" s="1" t="inlineStr">
        <is>
          <t>3× порог скрытый Artens 30×900 мм, 0–8 мм</t>
        </is>
      </c>
      <c r="H22" s="43" t="n">
        <v>681</v>
      </c>
      <c r="I22" s="43" t="n">
        <v>1500</v>
      </c>
      <c r="J22" s="48" t="n">
        <v>-54.6</v>
      </c>
      <c r="K22" s="1" t="inlineStr">
        <is>
          <t>Лемана ПРО (цена Самара)</t>
        </is>
      </c>
      <c r="L22" s="1" t="inlineStr">
        <is>
          <t>доставка в Саратов</t>
        </is>
      </c>
      <c r="M22" s="45" t="inlineStr">
        <is>
          <t>https://samara.lemanapro.ru/product/porog-raznourovnevyy-kant-artens-skrytyy-17855099/</t>
        </is>
      </c>
      <c r="N22" s="1" t="inlineStr">
        <is>
          <t>сниппет</t>
        </is>
      </c>
      <c r="O22" s="1" t="inlineStr">
        <is>
          <t>2026-09-11</t>
        </is>
      </c>
      <c r="P22" s="47" t="inlineStr">
        <is>
          <t>уточнить</t>
        </is>
      </c>
      <c r="Q22" s="1" t="inlineStr">
        <is>
          <t>227 ₽/шт × 3 стыка (коридор + 2 санузла — допущение); цена в Самаре, Саратов блокирует доступ</t>
        </is>
      </c>
    </row>
    <row r="23">
      <c r="A23" s="1" t="inlineStr">
        <is>
          <t>1_Ремонт</t>
        </is>
      </c>
      <c r="B23" s="1" t="n">
        <v>5</v>
      </c>
      <c r="C23" s="1" t="inlineStr">
        <is>
          <t>1. Пол</t>
        </is>
      </c>
      <c r="D23" s="1" t="inlineStr">
        <is>
          <t>Порожки, стыки плитка–ламинат</t>
        </is>
      </c>
      <c r="E23" s="1" t="inlineStr">
        <is>
          <t>компл</t>
        </is>
      </c>
      <c r="F23" s="1" t="inlineStr">
        <is>
          <t>СРЕД</t>
        </is>
      </c>
      <c r="G23" s="1" t="inlineStr">
        <is>
          <t>3× порог разноуровневый алюминиевый ПР06 900×41, закрытый крепёж</t>
        </is>
      </c>
      <c r="H23" s="43" t="n">
        <v>2955</v>
      </c>
      <c r="I23" s="43" t="n">
        <v>3000</v>
      </c>
      <c r="J23" s="44" t="n">
        <v>-1.5</v>
      </c>
      <c r="K23" s="1" t="inlineStr">
        <is>
          <t>Лемана ПРО (цена Тверь)</t>
        </is>
      </c>
      <c r="L23" s="1" t="inlineStr">
        <is>
          <t>доставка в Саратов</t>
        </is>
      </c>
      <c r="M23" s="45" t="inlineStr">
        <is>
          <t>https://tver.lemanapro.ru/product/porog-dlya-pola-raznourovnevyy-alyuminievyy-pr06-zakrytyy-krepezh-900x41-perepad-belyy-matovyy-91155692/</t>
        </is>
      </c>
      <c r="N23" s="1" t="inlineStr">
        <is>
          <t>сниппет</t>
        </is>
      </c>
      <c r="O23" s="1" t="inlineStr">
        <is>
          <t>2026-09-11</t>
        </is>
      </c>
      <c r="P23" s="47" t="inlineStr">
        <is>
          <t>уточнить</t>
        </is>
      </c>
      <c r="Q23" s="1" t="inlineStr">
        <is>
          <t>985 ₽/шт × 3; количество стыков — допущение</t>
        </is>
      </c>
    </row>
    <row r="24">
      <c r="A24" s="1" t="inlineStr">
        <is>
          <t>1_Ремонт</t>
        </is>
      </c>
      <c r="B24" s="1" t="n">
        <v>5</v>
      </c>
      <c r="C24" s="1" t="inlineStr">
        <is>
          <t>1. Пол</t>
        </is>
      </c>
      <c r="D24" s="1" t="inlineStr">
        <is>
          <t>Порожки, стыки плитка–ламинат</t>
        </is>
      </c>
      <c r="E24" s="1" t="inlineStr">
        <is>
          <t>компл</t>
        </is>
      </c>
      <c r="F24" s="1" t="inlineStr">
        <is>
          <t>МАКС</t>
        </is>
      </c>
      <c r="G24" s="1" t="inlineStr">
        <is>
          <t>Т-образный / скрытый порог по размеру, пробковый компенсатор</t>
        </is>
      </c>
      <c r="H24" s="43" t="n"/>
      <c r="I24" s="43" t="n">
        <v>6000</v>
      </c>
      <c r="J24" s="44" t="n"/>
      <c r="K24" s="1" t="inlineStr">
        <is>
          <t>Лемана ПРО</t>
        </is>
      </c>
      <c r="L24" s="1" t="inlineStr">
        <is>
          <t>доставка в Саратов</t>
        </is>
      </c>
      <c r="M24" s="45" t="inlineStr">
        <is>
          <t>https://lemanapro.ru/catalogue/porozhki-dlya-pola/raznourovnevye/</t>
        </is>
      </c>
      <c r="N24" s="1" t="inlineStr">
        <is>
          <t>не проверено</t>
        </is>
      </c>
      <c r="O24" s="1" t="inlineStr">
        <is>
          <t>2026-09-11</t>
        </is>
      </c>
      <c r="P24" s="47" t="inlineStr">
        <is>
          <t>уточнить</t>
        </is>
      </c>
      <c r="Q24" s="1" t="inlineStr">
        <is>
          <t>Цен на заказные порожки не найдено; каталог разноуровневых «от 230 ₽»</t>
        </is>
      </c>
    </row>
    <row r="25">
      <c r="A25" s="1" t="inlineStr">
        <is>
          <t>1_Ремонт</t>
        </is>
      </c>
      <c r="B25" s="1" t="n">
        <v>5</v>
      </c>
      <c r="C25" s="1" t="inlineStr">
        <is>
          <t>1. Пол</t>
        </is>
      </c>
      <c r="D25" s="1" t="inlineStr">
        <is>
          <t>Порожки, стыки плитка–ламинат</t>
        </is>
      </c>
      <c r="E25" s="1" t="inlineStr">
        <is>
          <t>компл</t>
        </is>
      </c>
      <c r="F25" s="1" t="inlineStr">
        <is>
          <t>ВСЕ</t>
        </is>
      </c>
      <c r="G25" s="1" t="inlineStr">
        <is>
          <t>Авито Саратов — поиск «Порожки, стыки плитка–ламинат» (новые товары магазинов и объявления)</t>
        </is>
      </c>
      <c r="H25" s="43" t="n"/>
      <c r="I25" s="43" t="n"/>
      <c r="J25" s="44" t="n"/>
      <c r="K25" s="1" t="inlineStr">
        <is>
          <t>Авито Саратов</t>
        </is>
      </c>
      <c r="L25" s="1" t="inlineStr">
        <is>
          <t>Саратов</t>
        </is>
      </c>
      <c r="M25" s="45" t="inlineStr">
        <is>
          <t>https://www.avito.ru/saratov?q=%D0%9F%D0%BE%D1%80%D0%BE%D0%B6%D0%BA%D0%B8%2C%20%D1%81%D1%82%D1%8B%D0%BA%D0%B8%20%D0%BF%D0%BB%D0%B8%D1%82%D0%BA%D0%B0%E2%80%93%D0%BB%D0%B0%D0%BC%D0%B8%D0%BD%D0%B0%D1%82</t>
        </is>
      </c>
      <c r="N25" s="1" t="inlineStr">
        <is>
          <t>не проверено</t>
        </is>
      </c>
      <c r="O25" s="1" t="inlineStr">
        <is>
          <t>2026-09-11</t>
        </is>
      </c>
      <c r="P25" s="47" t="inlineStr">
        <is>
          <t>уточнить</t>
        </is>
      </c>
      <c r="Q2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6">
      <c r="A26" s="1" t="inlineStr">
        <is>
          <t>1_Ремонт</t>
        </is>
      </c>
      <c r="B26" s="1" t="n">
        <v>6</v>
      </c>
      <c r="C26" s="1" t="inlineStr">
        <is>
          <t>2. Потолок</t>
        </is>
      </c>
      <c r="D26" s="1" t="inlineStr">
        <is>
          <t>Натяжной потолок с монтажом «под ключ»</t>
        </is>
      </c>
      <c r="E26" s="1" t="inlineStr">
        <is>
          <t>м²</t>
        </is>
      </c>
      <c r="F26" s="1" t="inlineStr">
        <is>
          <t>МИН</t>
        </is>
      </c>
      <c r="G26" s="1" t="inlineStr">
        <is>
          <t>ПВХ матовый белый HALEAD, обычный профиль, с монтажом</t>
        </is>
      </c>
      <c r="H26" s="43" t="n">
        <v>380</v>
      </c>
      <c r="I26" s="43" t="n">
        <v>400</v>
      </c>
      <c r="J26" s="44" t="n">
        <v>-5</v>
      </c>
      <c r="K26" s="1" t="inlineStr">
        <is>
          <t>РВС-Сервис Саратов</t>
        </is>
      </c>
      <c r="L26" s="1" t="inlineStr">
        <is>
          <t>Саратов</t>
        </is>
      </c>
      <c r="M26" s="45" t="inlineStr">
        <is>
          <t>https://potolki-rvs.ru/ceny</t>
        </is>
      </c>
      <c r="N26" s="1" t="inlineStr">
        <is>
          <t>страница</t>
        </is>
      </c>
      <c r="O26" s="1" t="inlineStr">
        <is>
          <t>2026-09-11</t>
        </is>
      </c>
      <c r="P26" s="46" t="inlineStr">
        <is>
          <t>ок</t>
        </is>
      </c>
      <c r="Q26" s="1" t="inlineStr">
        <is>
          <t>380 ₽/м² от 30 м² (400 до 18 м²); СуперПотолок MSD «от 293 ₽/м²» (https://superpotolok.ru/ceny/)</t>
        </is>
      </c>
    </row>
    <row r="27">
      <c r="A27" s="1" t="inlineStr">
        <is>
          <t>1_Ремонт</t>
        </is>
      </c>
      <c r="B27" s="1" t="n">
        <v>6</v>
      </c>
      <c r="C27" s="1" t="inlineStr">
        <is>
          <t>2. Потолок</t>
        </is>
      </c>
      <c r="D27" s="1" t="inlineStr">
        <is>
          <t>Натяжной потолок с монтажом «под ключ»</t>
        </is>
      </c>
      <c r="E27" s="1" t="inlineStr">
        <is>
          <t>м²</t>
        </is>
      </c>
      <c r="F27" s="1" t="inlineStr">
        <is>
          <t>СРЕД</t>
        </is>
      </c>
      <c r="G27" s="1" t="inlineStr">
        <is>
          <t>Bauf (ширина &gt;3,6 м) с монтажом + теневой профиль</t>
        </is>
      </c>
      <c r="H27" s="43" t="n">
        <v>590</v>
      </c>
      <c r="I27" s="43" t="n">
        <v>950</v>
      </c>
      <c r="J27" s="48" t="n">
        <v>-37.9</v>
      </c>
      <c r="K27" s="1" t="inlineStr">
        <is>
          <t>СуперПотолок Саратов</t>
        </is>
      </c>
      <c r="L27" s="1" t="inlineStr">
        <is>
          <t>Саратов</t>
        </is>
      </c>
      <c r="M27" s="45" t="inlineStr">
        <is>
          <t>https://superpotolok.ru/ceny/</t>
        </is>
      </c>
      <c r="N27" s="1" t="inlineStr">
        <is>
          <t>страница</t>
        </is>
      </c>
      <c r="O27" s="1" t="inlineStr">
        <is>
          <t>2026-09-11</t>
        </is>
      </c>
      <c r="P27" s="47" t="inlineStr">
        <is>
          <t>уточнить</t>
        </is>
      </c>
      <c r="Q27" s="1" t="inlineStr">
        <is>
          <t>590 ₽/м² только полотно с монтажом (460 до 3,6 м); теневой профиль отдельно: Хоум Комфорт 150–340 ₽/п.м + монтаж 650–1000 ₽/п.м (https://xn--80aagvjfuafcrkii.xn--p1ai/tenevoj-natyazhnoj-potolok/); zabor.bz «теневой от 488 ₽/м²»</t>
        </is>
      </c>
    </row>
    <row r="28">
      <c r="A28" s="1" t="inlineStr">
        <is>
          <t>1_Ремонт</t>
        </is>
      </c>
      <c r="B28" s="1" t="n">
        <v>6</v>
      </c>
      <c r="C28" s="1" t="inlineStr">
        <is>
          <t>2. Потолок</t>
        </is>
      </c>
      <c r="D28" s="1" t="inlineStr">
        <is>
          <t>Натяжной потолок с монтажом «под ключ»</t>
        </is>
      </c>
      <c r="E28" s="1" t="inlineStr">
        <is>
          <t>м²</t>
        </is>
      </c>
      <c r="F28" s="1" t="inlineStr">
        <is>
          <t>МАКС</t>
        </is>
      </c>
      <c r="G28" s="1" t="inlineStr">
        <is>
          <t>Тканевый Descor D-premium белый с монтажом</t>
        </is>
      </c>
      <c r="H28" s="43" t="n">
        <v>1800</v>
      </c>
      <c r="I28" s="43" t="n">
        <v>1800</v>
      </c>
      <c r="J28" s="44" t="n">
        <v>0</v>
      </c>
      <c r="K28" s="1" t="inlineStr">
        <is>
          <t>РВС-Сервис Саратов</t>
        </is>
      </c>
      <c r="L28" s="1" t="inlineStr">
        <is>
          <t>Саратов</t>
        </is>
      </c>
      <c r="M28" s="45" t="inlineStr">
        <is>
          <t>https://potolki-rvs.ru/ceny</t>
        </is>
      </c>
      <c r="N28" s="1" t="inlineStr">
        <is>
          <t>страница</t>
        </is>
      </c>
      <c r="O28" s="1" t="inlineStr">
        <is>
          <t>2026-09-11</t>
        </is>
      </c>
      <c r="P28" s="46" t="inlineStr">
        <is>
          <t>ок</t>
        </is>
      </c>
      <c r="Q28" s="1" t="inlineStr">
        <is>
          <t>Descor белый 1500, D-premium 1650–1800 ₽/м²; световые линии/контурная подсветка +900 ₽/п.м, ниша с подсветкой 4200 ₽/п.м; СуперПотолок Descor от 2700 ₽/м²</t>
        </is>
      </c>
    </row>
    <row r="29">
      <c r="A29" s="1" t="inlineStr">
        <is>
          <t>1_Ремонт</t>
        </is>
      </c>
      <c r="B29" s="1" t="n">
        <v>6</v>
      </c>
      <c r="C29" s="1" t="inlineStr">
        <is>
          <t>2. Потолок</t>
        </is>
      </c>
      <c r="D29" s="1" t="inlineStr">
        <is>
          <t>Натяжной потолок с монтажом «под ключ»</t>
        </is>
      </c>
      <c r="E29" s="1" t="inlineStr">
        <is>
          <t>м²</t>
        </is>
      </c>
      <c r="F29" s="1" t="inlineStr">
        <is>
          <t>ВСЕ</t>
        </is>
      </c>
      <c r="G29" s="1" t="inlineStr">
        <is>
          <t>Авито Саратов — поиск «Натяжной потолок с монтажом «под ключ»» (новые товары магазинов и объявления)</t>
        </is>
      </c>
      <c r="H29" s="43" t="n"/>
      <c r="I29" s="43" t="n"/>
      <c r="J29" s="44" t="n"/>
      <c r="K29" s="1" t="inlineStr">
        <is>
          <t>Авито Саратов</t>
        </is>
      </c>
      <c r="L29" s="1" t="inlineStr">
        <is>
          <t>Саратов</t>
        </is>
      </c>
      <c r="M29" s="45" t="inlineStr">
        <is>
          <t>https://www.avito.ru/saratov?q=%D0%9D%D0%B0%D1%82%D1%8F%D0%B6%D0%BD%D0%BE%D0%B9%20%D0%BF%D0%BE%D1%82%D0%BE%D0%BB%D0%BE%D0%BA%20%D1%81%20%D0%BC%D0%BE%D0%BD%D1%82%D0%B0%D0%B6%D0%BE%D0%BC%20%C2%AB%D0%BF%D0%BE%D0%B4%20%D0%BA%D0%BB%D1%8E%D1%87%C2%BB</t>
        </is>
      </c>
      <c r="N29" s="1" t="inlineStr">
        <is>
          <t>не проверено</t>
        </is>
      </c>
      <c r="O29" s="1" t="inlineStr">
        <is>
          <t>2026-09-11</t>
        </is>
      </c>
      <c r="P29" s="47" t="inlineStr">
        <is>
          <t>уточнить</t>
        </is>
      </c>
      <c r="Q2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0">
      <c r="A30" s="1" t="inlineStr">
        <is>
          <t>1_Ремонт</t>
        </is>
      </c>
      <c r="B30" s="1" t="n">
        <v>7</v>
      </c>
      <c r="C30" s="1" t="inlineStr">
        <is>
          <t>2. Потолок</t>
        </is>
      </c>
      <c r="D30" s="1" t="inlineStr">
        <is>
          <t>Закладные (брус/платформы) под люстры, карнизы</t>
        </is>
      </c>
      <c r="E30" s="1" t="inlineStr">
        <is>
          <t>компл</t>
        </is>
      </c>
      <c r="F30" s="1" t="inlineStr">
        <is>
          <t>МИН</t>
        </is>
      </c>
      <c r="G30" s="1" t="inlineStr">
        <is>
          <t>2 платформы под люстру (420 ₽) + закладная под карниз 3 м (550 ₽/м)</t>
        </is>
      </c>
      <c r="H30" s="43" t="n">
        <v>2490</v>
      </c>
      <c r="I30" s="43" t="n">
        <v>2000</v>
      </c>
      <c r="J30" s="44" t="n">
        <v>24.5</v>
      </c>
      <c r="K30" s="1" t="inlineStr">
        <is>
          <t>РВС-Сервис Саратов</t>
        </is>
      </c>
      <c r="L30" s="1" t="inlineStr">
        <is>
          <t>Саратов</t>
        </is>
      </c>
      <c r="M30" s="45" t="inlineStr">
        <is>
          <t>https://potolki-rvs.ru/ceny</t>
        </is>
      </c>
      <c r="N30" s="1" t="inlineStr">
        <is>
          <t>страница</t>
        </is>
      </c>
      <c r="O30" s="1" t="inlineStr">
        <is>
          <t>2026-09-11</t>
        </is>
      </c>
      <c r="P30" s="47" t="inlineStr">
        <is>
          <t>уточнить</t>
        </is>
      </c>
      <c r="Q30" s="1" t="inlineStr">
        <is>
          <t>Состав комплекта — допущение; в прайсе это «установка светильника 420 ₽» и «карниз 550 ₽/м»</t>
        </is>
      </c>
    </row>
    <row r="31">
      <c r="A31" s="1" t="inlineStr">
        <is>
          <t>1_Ремонт</t>
        </is>
      </c>
      <c r="B31" s="1" t="n">
        <v>7</v>
      </c>
      <c r="C31" s="1" t="inlineStr">
        <is>
          <t>2. Потолок</t>
        </is>
      </c>
      <c r="D31" s="1" t="inlineStr">
        <is>
          <t>Закладные (брус/платформы) под люстры, карнизы</t>
        </is>
      </c>
      <c r="E31" s="1" t="inlineStr">
        <is>
          <t>компл</t>
        </is>
      </c>
      <c r="F31" s="1" t="inlineStr">
        <is>
          <t>СРЕД</t>
        </is>
      </c>
      <c r="G31" s="1" t="inlineStr">
        <is>
          <t>Точка монтажа 550 ₽; встраиваемый светильник до 350 мм 1200 ₽, свыше 1500 ₽</t>
        </is>
      </c>
      <c r="H31" s="43" t="n"/>
      <c r="I31" s="43" t="n">
        <v>4000</v>
      </c>
      <c r="J31" s="44" t="n"/>
      <c r="K31" s="1" t="inlineStr">
        <is>
          <t>СуперПотолок Саратов</t>
        </is>
      </c>
      <c r="L31" s="1" t="inlineStr">
        <is>
          <t>Саратов</t>
        </is>
      </c>
      <c r="M31" s="45" t="inlineStr">
        <is>
          <t>https://superpotolok.ru/ceny/</t>
        </is>
      </c>
      <c r="N31" s="1" t="inlineStr">
        <is>
          <t>страница</t>
        </is>
      </c>
      <c r="O31" s="1" t="inlineStr">
        <is>
          <t>2026-09-11</t>
        </is>
      </c>
      <c r="P31" s="47" t="inlineStr">
        <is>
          <t>уточнить</t>
        </is>
      </c>
      <c r="Q31" s="1" t="inlineStr">
        <is>
          <t>Закладная под карниз в прайсе не выделена; сумма комплекта не собирается без состава</t>
        </is>
      </c>
    </row>
    <row r="32">
      <c r="A32" s="1" t="inlineStr">
        <is>
          <t>1_Ремонт</t>
        </is>
      </c>
      <c r="B32" s="1" t="n">
        <v>7</v>
      </c>
      <c r="C32" s="1" t="inlineStr">
        <is>
          <t>2. Потолок</t>
        </is>
      </c>
      <c r="D32" s="1" t="inlineStr">
        <is>
          <t>Закладные (брус/платформы) под люстры, карнизы</t>
        </is>
      </c>
      <c r="E32" s="1" t="inlineStr">
        <is>
          <t>компл</t>
        </is>
      </c>
      <c r="F32" s="1" t="inlineStr">
        <is>
          <t>МАКС</t>
        </is>
      </c>
      <c r="G32" s="1" t="inlineStr">
        <is>
          <t>Усиленные закладные + ниша под карниз</t>
        </is>
      </c>
      <c r="H32" s="43" t="n"/>
      <c r="I32" s="43" t="n">
        <v>8000</v>
      </c>
      <c r="J32" s="44" t="n"/>
      <c r="K32" s="1" t="inlineStr">
        <is>
          <t>РВС-Сервис Саратов</t>
        </is>
      </c>
      <c r="L32" s="1" t="inlineStr">
        <is>
          <t>Саратов</t>
        </is>
      </c>
      <c r="M32" s="45" t="inlineStr">
        <is>
          <t>https://potolki-rvs.ru/potolki/nisha-pod-karniz.html</t>
        </is>
      </c>
      <c r="N32" s="1" t="inlineStr">
        <is>
          <t>не проверено</t>
        </is>
      </c>
      <c r="O32" s="1" t="inlineStr">
        <is>
          <t>2026-09-11</t>
        </is>
      </c>
      <c r="P32" s="47" t="inlineStr">
        <is>
          <t>уточнить</t>
        </is>
      </c>
      <c r="Q32" s="1" t="inlineStr">
        <is>
          <t>Отдельной цены нет; ориентир РВС «ниша с подсветкой 4200 ₽/п.м»</t>
        </is>
      </c>
    </row>
    <row r="33">
      <c r="A33" s="1" t="inlineStr">
        <is>
          <t>1_Ремонт</t>
        </is>
      </c>
      <c r="B33" s="1" t="n">
        <v>7</v>
      </c>
      <c r="C33" s="1" t="inlineStr">
        <is>
          <t>2. Потолок</t>
        </is>
      </c>
      <c r="D33" s="1" t="inlineStr">
        <is>
          <t>Закладные (брус/платформы) под люстры, карнизы</t>
        </is>
      </c>
      <c r="E33" s="1" t="inlineStr">
        <is>
          <t>компл</t>
        </is>
      </c>
      <c r="F33" s="1" t="inlineStr">
        <is>
          <t>ВСЕ</t>
        </is>
      </c>
      <c r="G33" s="1" t="inlineStr">
        <is>
          <t>Авито Саратов — поиск «Закладные под люстры, карнизы» (новые товары магазинов и объявления)</t>
        </is>
      </c>
      <c r="H33" s="43" t="n"/>
      <c r="I33" s="43" t="n"/>
      <c r="J33" s="44" t="n"/>
      <c r="K33" s="1" t="inlineStr">
        <is>
          <t>Авито Саратов</t>
        </is>
      </c>
      <c r="L33" s="1" t="inlineStr">
        <is>
          <t>Саратов</t>
        </is>
      </c>
      <c r="M33" s="45" t="inlineStr">
        <is>
          <t>https://www.avito.ru/saratov?q=%D0%97%D0%B0%D0%BA%D0%BB%D0%B0%D0%B4%D0%BD%D1%8B%D0%B5%20%D0%BF%D0%BE%D0%B4%20%D0%BB%D1%8E%D1%81%D1%82%D1%80%D1%8B%2C%20%D0%BA%D0%B0%D1%80%D0%BD%D0%B8%D0%B7%D1%8B</t>
        </is>
      </c>
      <c r="N33" s="1" t="inlineStr">
        <is>
          <t>не проверено</t>
        </is>
      </c>
      <c r="O33" s="1" t="inlineStr">
        <is>
          <t>2026-09-11</t>
        </is>
      </c>
      <c r="P33" s="47" t="inlineStr">
        <is>
          <t>уточнить</t>
        </is>
      </c>
      <c r="Q3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4">
      <c r="A34" s="1" t="inlineStr">
        <is>
          <t>1_Ремонт</t>
        </is>
      </c>
      <c r="B34" s="1" t="n">
        <v>8</v>
      </c>
      <c r="C34" s="1" t="inlineStr">
        <is>
          <t>2. Потолок</t>
        </is>
      </c>
      <c r="D34" s="1" t="inlineStr">
        <is>
          <t>Кабель ВВГнг-LS + гофра для потолочных линий</t>
        </is>
      </c>
      <c r="E34" s="1" t="inlineStr">
        <is>
          <t>компл</t>
        </is>
      </c>
      <c r="F34" s="1" t="inlineStr">
        <is>
          <t>МИН</t>
        </is>
      </c>
      <c r="G34" s="1" t="inlineStr">
        <is>
          <t>100 м ВВГнг-LS 3×1,5 (43,5 ₽/м) + 100 м гофра Экопласт D16 (991 ₽)</t>
        </is>
      </c>
      <c r="H34" s="43" t="n">
        <v>5341</v>
      </c>
      <c r="I34" s="43" t="n">
        <v>6000</v>
      </c>
      <c r="J34" s="44" t="n">
        <v>-11</v>
      </c>
      <c r="K34" s="1" t="inlineStr">
        <is>
          <t>Ламповед + Лемана ПРО (цена Ростов)</t>
        </is>
      </c>
      <c r="L34" s="1" t="inlineStr">
        <is>
          <t>доставка в Саратов</t>
        </is>
      </c>
      <c r="M34" s="45" t="inlineStr">
        <is>
          <t>https://www.lampoved.ru/kabeli/vvgng/vvgngls315</t>
        </is>
      </c>
      <c r="N34" s="1" t="inlineStr">
        <is>
          <t>сниппет</t>
        </is>
      </c>
      <c r="O34" s="1" t="inlineStr">
        <is>
          <t>2026-09-11</t>
        </is>
      </c>
      <c r="P34" s="47" t="inlineStr">
        <is>
          <t>уточнить</t>
        </is>
      </c>
      <c r="Q34" s="1" t="inlineStr">
        <is>
          <t>Метраж 100+100 м — допущение; гофра https://rostov.lemanapro.ru/product/truba-gofrirovannaya-ekoplast-d16-mm-100-m-pvh-legkaya-s-protyazhkoy-cvet-seryy-10056016/</t>
        </is>
      </c>
    </row>
    <row r="35">
      <c r="A35" s="1" t="inlineStr">
        <is>
          <t>1_Ремонт</t>
        </is>
      </c>
      <c r="B35" s="1" t="n">
        <v>8</v>
      </c>
      <c r="C35" s="1" t="inlineStr">
        <is>
          <t>2. Потолок</t>
        </is>
      </c>
      <c r="D35" s="1" t="inlineStr">
        <is>
          <t>Кабель ВВГнг-LS + гофра для потолочных линий</t>
        </is>
      </c>
      <c r="E35" s="1" t="inlineStr">
        <is>
          <t>компл</t>
        </is>
      </c>
      <c r="F35" s="1" t="inlineStr">
        <is>
          <t>СРЕД</t>
        </is>
      </c>
      <c r="G35" s="1" t="inlineStr">
        <is>
          <t>ВВГнг(А)-LS 3×1,5 уп.100 м Русский Свет (10 302,9 ₽) + гофра DKC D16 100 м (1 798 ₽)</t>
        </is>
      </c>
      <c r="H35" s="43" t="n">
        <v>12101</v>
      </c>
      <c r="I35" s="43" t="n">
        <v>12000</v>
      </c>
      <c r="J35" s="44" t="n">
        <v>0.8</v>
      </c>
      <c r="K35" s="1" t="inlineStr">
        <is>
          <t>Русский Свет (rs24) + Лемана ПРО (цена Краснодар)</t>
        </is>
      </c>
      <c r="L35" s="1" t="inlineStr">
        <is>
          <t>доставка в Саратов</t>
        </is>
      </c>
      <c r="M35" s="45" t="inlineStr">
        <is>
          <t>https://rs24.ru/product/2962068</t>
        </is>
      </c>
      <c r="N35" s="1" t="inlineStr">
        <is>
          <t>сниппет</t>
        </is>
      </c>
      <c r="O35" s="1" t="inlineStr">
        <is>
          <t>2026-09-11</t>
        </is>
      </c>
      <c r="P35" s="47" t="inlineStr">
        <is>
          <t>уточнить</t>
        </is>
      </c>
      <c r="Q35" s="1" t="inlineStr">
        <is>
          <t>Метраж — допущение; саратовский МегаVольт (volt64.ru): ВВГнг 3×1,5 (без LS) 90 ₽/м; гофра https://krasnodar.lemanapro.ru/product/truba-gofrirovannaya-dkc-d16-mm-100-m-pvh-legkaya-s-protyazhkoy-cvet-seryy-85174899/</t>
        </is>
      </c>
    </row>
    <row r="36">
      <c r="A36" s="1" t="inlineStr">
        <is>
          <t>1_Ремонт</t>
        </is>
      </c>
      <c r="B36" s="1" t="n">
        <v>8</v>
      </c>
      <c r="C36" s="1" t="inlineStr">
        <is>
          <t>2. Потолок</t>
        </is>
      </c>
      <c r="D36" s="1" t="inlineStr">
        <is>
          <t>Кабель ВВГнг-LS + гофра для потолочных линий</t>
        </is>
      </c>
      <c r="E36" s="1" t="inlineStr">
        <is>
          <t>компл</t>
        </is>
      </c>
      <c r="F36" s="1" t="inlineStr">
        <is>
          <t>МАКС</t>
        </is>
      </c>
      <c r="G36" s="1" t="inlineStr">
        <is>
          <t>100 м ВВГнг(А)-LS 3×1,5 Конкорд ЭТМ (104,24 ₽/м) + 2×50 м гофра DKC D25 (2 354 ₽, Лемана Саратов)</t>
        </is>
      </c>
      <c r="H36" s="43" t="n">
        <v>15132</v>
      </c>
      <c r="I36" s="43" t="n">
        <v>20000</v>
      </c>
      <c r="J36" s="44" t="n">
        <v>-24.3</v>
      </c>
      <c r="K36" s="1" t="inlineStr">
        <is>
          <t>ЭТМ + Лемана ПРО Саратов</t>
        </is>
      </c>
      <c r="L36" s="1" t="inlineStr">
        <is>
          <t>Саратов</t>
        </is>
      </c>
      <c r="M36" s="45" t="inlineStr">
        <is>
          <t>https://www.etm.ru/cat/nn/9729228</t>
        </is>
      </c>
      <c r="N36" s="1" t="inlineStr">
        <is>
          <t>сниппет</t>
        </is>
      </c>
      <c r="O36" s="1" t="inlineStr">
        <is>
          <t>2026-09-11</t>
        </is>
      </c>
      <c r="P36" s="47" t="inlineStr">
        <is>
          <t>уточнить</t>
        </is>
      </c>
      <c r="Q36" s="1" t="inlineStr">
        <is>
          <t>Метраж — допущение; гофра D25 https://saratov.lemanapro.ru/product/truba-gofrirovannaya-s-protyazhkoy-dkc-pvh-d25-mm-50-m-legkaya-cvet-chernyy-91538362/</t>
        </is>
      </c>
    </row>
    <row r="37">
      <c r="A37" s="1" t="inlineStr">
        <is>
          <t>1_Ремонт</t>
        </is>
      </c>
      <c r="B37" s="1" t="n">
        <v>8</v>
      </c>
      <c r="C37" s="1" t="inlineStr">
        <is>
          <t>2. Потолок</t>
        </is>
      </c>
      <c r="D37" s="1" t="inlineStr">
        <is>
          <t>Кабель ВВГнг-LS + гофра для потолочных линий</t>
        </is>
      </c>
      <c r="E37" s="1" t="inlineStr">
        <is>
          <t>компл</t>
        </is>
      </c>
      <c r="F37" s="1" t="inlineStr">
        <is>
          <t>ВСЕ</t>
        </is>
      </c>
      <c r="G37" s="1" t="inlineStr">
        <is>
          <t>Авито Саратов — поиск «Кабель ВВГнг-LS + гофра для потолочных линий» (новые товары магазинов и объявления)</t>
        </is>
      </c>
      <c r="H37" s="43" t="n"/>
      <c r="I37" s="43" t="n"/>
      <c r="J37" s="44" t="n"/>
      <c r="K37" s="1" t="inlineStr">
        <is>
          <t>Авито Саратов</t>
        </is>
      </c>
      <c r="L37" s="1" t="inlineStr">
        <is>
          <t>Саратов</t>
        </is>
      </c>
      <c r="M37" s="45" t="inlineStr">
        <is>
          <t>https://www.avito.ru/saratov?q=%D0%9A%D0%B0%D0%B1%D0%B5%D0%BB%D1%8C%20%D0%92%D0%92%D0%93%D0%BD%D0%B3-LS%20%2B%20%D0%B3%D0%BE%D1%84%D1%80%D0%B0%20%D0%B4%D0%BB%D1%8F%20%D0%BF%D0%BE%D1%82%D0%BE%D0%BB%D0%BE%D1%87%D0%BD%D1%8B%D1%85%20%D0%BB%D0%B8%D0%BD%D0%B8%D0%B9</t>
        </is>
      </c>
      <c r="N37" s="1" t="inlineStr">
        <is>
          <t>не проверено</t>
        </is>
      </c>
      <c r="O37" s="1" t="inlineStr">
        <is>
          <t>2026-09-11</t>
        </is>
      </c>
      <c r="P37" s="47" t="inlineStr">
        <is>
          <t>уточнить</t>
        </is>
      </c>
      <c r="Q3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8">
      <c r="A38" s="1" t="inlineStr">
        <is>
          <t>1_Ремонт</t>
        </is>
      </c>
      <c r="B38" s="1" t="n">
        <v>9</v>
      </c>
      <c r="C38" s="1" t="inlineStr">
        <is>
          <t>2. Потолок</t>
        </is>
      </c>
      <c r="D38" s="1" t="inlineStr">
        <is>
          <t>Светильники потолочные</t>
        </is>
      </c>
      <c r="E38" s="1" t="inlineStr">
        <is>
          <t>шт</t>
        </is>
      </c>
      <c r="F38" s="1" t="inlineStr">
        <is>
          <t>МИН</t>
        </is>
      </c>
      <c r="G38" s="1" t="inlineStr">
        <is>
          <t>Накладной Ecola GX53 DGX5318 белый</t>
        </is>
      </c>
      <c r="H38" s="43" t="n">
        <v>82</v>
      </c>
      <c r="I38" s="43" t="n">
        <v>250</v>
      </c>
      <c r="J38" s="48" t="n">
        <v>-67.2</v>
      </c>
      <c r="K38" s="1" t="inlineStr">
        <is>
          <t>ВсеИнструменты</t>
        </is>
      </c>
      <c r="L38" s="1" t="inlineStr">
        <is>
          <t>доставка в Саратов</t>
        </is>
      </c>
      <c r="M38" s="45" t="inlineStr">
        <is>
          <t>https://www.vseinstrumenti.ru/electrika-i-svet/svetilniki/nastenno-potolochnye/nakladnye/ecola/gx53-dgx5318-legkij-belyj-svetilnik-18x83-fw53ffecd/</t>
        </is>
      </c>
      <c r="N38" s="1" t="inlineStr">
        <is>
          <t>сниппет</t>
        </is>
      </c>
      <c r="O38" s="1" t="inlineStr">
        <is>
          <t>2026-09-11</t>
        </is>
      </c>
      <c r="P38" s="46" t="inlineStr">
        <is>
          <t>ок</t>
        </is>
      </c>
      <c r="Q38" s="1" t="inlineStr">
        <is>
          <t>Без лампы; лампа Uniel GX53 8 Вт 81 ₽ в Лемана Саратов (https://saratov.lemanapro.ru/product/lampa-svetodiodnaya-uniel-gx53-8-vt-670-lm-svet-holodnyy-belyy-18336805/) → 163 ₽ с лампой</t>
        </is>
      </c>
    </row>
    <row r="39">
      <c r="A39" s="1" t="inlineStr">
        <is>
          <t>1_Ремонт</t>
        </is>
      </c>
      <c r="B39" s="1" t="n">
        <v>9</v>
      </c>
      <c r="C39" s="1" t="inlineStr">
        <is>
          <t>2. Потолок</t>
        </is>
      </c>
      <c r="D39" s="1" t="inlineStr">
        <is>
          <t>Светильники потолочные</t>
        </is>
      </c>
      <c r="E39" s="1" t="inlineStr">
        <is>
          <t>шт</t>
        </is>
      </c>
      <c r="F39" s="1" t="inlineStr">
        <is>
          <t>СРЕД</t>
        </is>
      </c>
      <c r="G39" s="1" t="inlineStr">
        <is>
          <t>Встраиваемый LED Apeyron 06-17, отв. 85 мм</t>
        </is>
      </c>
      <c r="H39" s="43" t="n">
        <v>615</v>
      </c>
      <c r="I39" s="43" t="n">
        <v>700</v>
      </c>
      <c r="J39" s="44" t="n">
        <v>-12.1</v>
      </c>
      <c r="K39" s="1" t="inlineStr">
        <is>
          <t>Лемана ПРО Саратов</t>
        </is>
      </c>
      <c r="L39" s="1" t="inlineStr">
        <is>
          <t>Саратов</t>
        </is>
      </c>
      <c r="M39" s="45" t="inlineStr">
        <is>
          <t>https://saratov.lemanapro.ru/product/svetilnik-tochechnyy-svetodiodnyy-vstraivaemyy-apeyron-06-17-pod-otverstie-85-mm-88110327/</t>
        </is>
      </c>
      <c r="N39" s="1" t="inlineStr">
        <is>
          <t>сниппет</t>
        </is>
      </c>
      <c r="O39" s="1" t="inlineStr">
        <is>
          <t>2026-09-11</t>
        </is>
      </c>
      <c r="P39" s="46" t="inlineStr">
        <is>
          <t>ок</t>
        </is>
      </c>
      <c r="Q39" s="1" t="inlineStr">
        <is>
          <t>Люстра Семь огней Трине 8 ламп 3 558 ₽ там же (для 2 люстр по смете)</t>
        </is>
      </c>
    </row>
    <row r="40">
      <c r="A40" s="1" t="inlineStr">
        <is>
          <t>1_Ремонт</t>
        </is>
      </c>
      <c r="B40" s="1" t="n">
        <v>9</v>
      </c>
      <c r="C40" s="1" t="inlineStr">
        <is>
          <t>2. Потолок</t>
        </is>
      </c>
      <c r="D40" s="1" t="inlineStr">
        <is>
          <t>Светильники потолочные</t>
        </is>
      </c>
      <c r="E40" s="1" t="inlineStr">
        <is>
          <t>шт</t>
        </is>
      </c>
      <c r="F40" s="1" t="inlineStr">
        <is>
          <t>МАКС</t>
        </is>
      </c>
      <c r="G40" s="1" t="inlineStr">
        <is>
          <t>Магнитный трековый светильник 48V (Spot ET48 18W и аналоги)</t>
        </is>
      </c>
      <c r="H40" s="43" t="n"/>
      <c r="I40" s="43" t="n">
        <v>2500</v>
      </c>
      <c r="J40" s="44" t="n"/>
      <c r="K40" s="1" t="inlineStr">
        <is>
          <t>Лемана ПРО</t>
        </is>
      </c>
      <c r="L40" s="1" t="inlineStr">
        <is>
          <t>доставка в Саратов</t>
        </is>
      </c>
      <c r="M40" s="45" t="inlineStr">
        <is>
          <t>https://lemanapro.ru/catalogue/trekovye-sistemy-osveshcheniya/magnitnye-vstraivaemye/</t>
        </is>
      </c>
      <c r="N40" s="1" t="inlineStr">
        <is>
          <t>сниппет</t>
        </is>
      </c>
      <c r="O40" s="1" t="inlineStr">
        <is>
          <t>2026-09-11</t>
        </is>
      </c>
      <c r="P40" s="47" t="inlineStr">
        <is>
          <t>уточнить</t>
        </is>
      </c>
      <c r="Q40" s="1" t="inlineStr">
        <is>
          <t>Категория «от 900–988 ₽» без цены конкретной модели; шинопровод и блок питания в смете не выделены</t>
        </is>
      </c>
    </row>
    <row r="41">
      <c r="A41" s="1" t="inlineStr">
        <is>
          <t>1_Ремонт</t>
        </is>
      </c>
      <c r="B41" s="1" t="n">
        <v>9</v>
      </c>
      <c r="C41" s="1" t="inlineStr">
        <is>
          <t>2. Потолок</t>
        </is>
      </c>
      <c r="D41" s="1" t="inlineStr">
        <is>
          <t>Светильники потолочные</t>
        </is>
      </c>
      <c r="E41" s="1" t="inlineStr">
        <is>
          <t>шт</t>
        </is>
      </c>
      <c r="F41" s="1" t="inlineStr">
        <is>
          <t>ВСЕ</t>
        </is>
      </c>
      <c r="G41" s="1" t="inlineStr">
        <is>
          <t>Авито Саратов — поиск «Светильники потолочные» (новые товары магазинов и объявления)</t>
        </is>
      </c>
      <c r="H41" s="43" t="n"/>
      <c r="I41" s="43" t="n"/>
      <c r="J41" s="44" t="n"/>
      <c r="K41" s="1" t="inlineStr">
        <is>
          <t>Авито Саратов</t>
        </is>
      </c>
      <c r="L41" s="1" t="inlineStr">
        <is>
          <t>Саратов</t>
        </is>
      </c>
      <c r="M41" s="45" t="inlineStr">
        <is>
          <t>https://www.avito.ru/saratov?q=%D0%A1%D0%B2%D0%B5%D1%82%D0%B8%D0%BB%D1%8C%D0%BD%D0%B8%D0%BA%D0%B8%20%D0%BF%D0%BE%D1%82%D0%BE%D0%BB%D0%BE%D1%87%D0%BD%D1%8B%D0%B5</t>
        </is>
      </c>
      <c r="N41" s="1" t="inlineStr">
        <is>
          <t>не проверено</t>
        </is>
      </c>
      <c r="O41" s="1" t="inlineStr">
        <is>
          <t>2026-09-11</t>
        </is>
      </c>
      <c r="P41" s="47" t="inlineStr">
        <is>
          <t>уточнить</t>
        </is>
      </c>
      <c r="Q4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2">
      <c r="A42" s="1" t="inlineStr">
        <is>
          <t>1_Ремонт</t>
        </is>
      </c>
      <c r="B42" s="1" t="n">
        <v>10</v>
      </c>
      <c r="C42" s="1" t="inlineStr">
        <is>
          <t>2. Потолок</t>
        </is>
      </c>
      <c r="D42" s="1" t="inlineStr">
        <is>
          <t>Ниша ГКЛ под скрытый карниз (материалы)</t>
        </is>
      </c>
      <c r="E42" s="1" t="inlineStr">
        <is>
          <t>компл</t>
        </is>
      </c>
      <c r="F42" s="1" t="inlineStr">
        <is>
          <t>МИН</t>
        </is>
      </c>
      <c r="G42" s="1" t="inlineStr">
        <is>
          <t>Не делаем — карниз накладной</t>
        </is>
      </c>
      <c r="H42" s="43" t="n">
        <v>0</v>
      </c>
      <c r="I42" s="43" t="n">
        <v>0</v>
      </c>
      <c r="J42" s="44" t="n"/>
      <c r="K42" s="1" t="inlineStr">
        <is>
          <t>—</t>
        </is>
      </c>
      <c r="L42" s="1" t="inlineStr">
        <is>
          <t>Саратов</t>
        </is>
      </c>
      <c r="M42" s="45" t="inlineStr">
        <is>
          <t>https://www.profkom64.ru/product/gipsokarton/gips-12-5-mm/</t>
        </is>
      </c>
      <c r="N42" s="1" t="inlineStr">
        <is>
          <t>не проверено</t>
        </is>
      </c>
      <c r="O42" s="1" t="inlineStr">
        <is>
          <t>2026-09-11</t>
        </is>
      </c>
      <c r="P42" s="46" t="inlineStr">
        <is>
          <t>ок</t>
        </is>
      </c>
      <c r="Q42" s="1" t="inlineStr">
        <is>
          <t>По смете 0</t>
        </is>
      </c>
    </row>
    <row r="43">
      <c r="A43" s="1" t="inlineStr">
        <is>
          <t>1_Ремонт</t>
        </is>
      </c>
      <c r="B43" s="1" t="n">
        <v>10</v>
      </c>
      <c r="C43" s="1" t="inlineStr">
        <is>
          <t>2. Потолок</t>
        </is>
      </c>
      <c r="D43" s="1" t="inlineStr">
        <is>
          <t>Ниша ГКЛ под скрытый карниз (материалы)</t>
        </is>
      </c>
      <c r="E43" s="1" t="inlineStr">
        <is>
          <t>компл</t>
        </is>
      </c>
      <c r="F43" s="1" t="inlineStr">
        <is>
          <t>СРЕД</t>
        </is>
      </c>
      <c r="G43" s="1" t="inlineStr">
        <is>
          <t>ГКЛ Кнауф 2500×1200×12,5 (392 ₽/лист) + профиль ПП 60×27 + ПН 28×27 + подвесы</t>
        </is>
      </c>
      <c r="H43" s="43" t="n"/>
      <c r="I43" s="43" t="n">
        <v>5000</v>
      </c>
      <c r="J43" s="44" t="n"/>
      <c r="K43" s="1" t="inlineStr">
        <is>
          <t>Профком Саратов</t>
        </is>
      </c>
      <c r="L43" s="1" t="inlineStr">
        <is>
          <t>Саратов</t>
        </is>
      </c>
      <c r="M43" s="45" t="inlineStr">
        <is>
          <t>https://www.profkom64.ru/product/gipsokarton/gips-12-5-mm/</t>
        </is>
      </c>
      <c r="N43" s="1" t="inlineStr">
        <is>
          <t>страница</t>
        </is>
      </c>
      <c r="O43" s="1" t="inlineStr">
        <is>
          <t>2026-09-11</t>
        </is>
      </c>
      <c r="P43" s="47" t="inlineStr">
        <is>
          <t>уточнить</t>
        </is>
      </c>
      <c r="Q43" s="1" t="inlineStr">
        <is>
          <t>ГКЛ Магма 341, Кнауф 392, ГКЛВ Кнауф 529 ₽/лист; ПП 60×27 3 м: 179–235 ₽ (KGSnab, Москва), Knauf 307 ₽ (Лемана Москва); ПН/подвесы/саморезы не найдены — сумма не собирается</t>
        </is>
      </c>
    </row>
    <row r="44">
      <c r="A44" s="1" t="inlineStr">
        <is>
          <t>1_Ремонт</t>
        </is>
      </c>
      <c r="B44" s="1" t="n">
        <v>10</v>
      </c>
      <c r="C44" s="1" t="inlineStr">
        <is>
          <t>2. Потолок</t>
        </is>
      </c>
      <c r="D44" s="1" t="inlineStr">
        <is>
          <t>Ниша ГКЛ под скрытый карниз (материалы)</t>
        </is>
      </c>
      <c r="E44" s="1" t="inlineStr">
        <is>
          <t>компл</t>
        </is>
      </c>
      <c r="F44" s="1" t="inlineStr">
        <is>
          <t>МАКС</t>
        </is>
      </c>
      <c r="G44" s="1" t="inlineStr">
        <is>
          <t>ГКЛВ Кнауф (529 ₽/лист) + профиль Knauf 0,6 мм (307 ₽/шт) + комплектующие</t>
        </is>
      </c>
      <c r="H44" s="43" t="n"/>
      <c r="I44" s="43" t="n">
        <v>12000</v>
      </c>
      <c r="J44" s="44" t="n"/>
      <c r="K44" s="1" t="inlineStr">
        <is>
          <t>Профком Саратов + Лемана ПРО</t>
        </is>
      </c>
      <c r="L44" s="1" t="inlineStr">
        <is>
          <t>Саратов</t>
        </is>
      </c>
      <c r="M44" s="45" t="inlineStr">
        <is>
          <t>https://www.profkom64.ru/product/gipsokarton/gips-12-5-mm/</t>
        </is>
      </c>
      <c r="N44" s="1" t="inlineStr">
        <is>
          <t>страница</t>
        </is>
      </c>
      <c r="O44" s="1" t="inlineStr">
        <is>
          <t>2026-09-11</t>
        </is>
      </c>
      <c r="P44" s="47" t="inlineStr">
        <is>
          <t>уточнить</t>
        </is>
      </c>
      <c r="Q44" s="1" t="inlineStr">
        <is>
          <t>Состав ниши не задан; профиль https://lemanapro.ru/product/profil-potolochnyy-pp-knauf-06-mm-60x27x3000-mm-12095334/</t>
        </is>
      </c>
    </row>
    <row r="45">
      <c r="A45" s="1" t="inlineStr">
        <is>
          <t>1_Ремонт</t>
        </is>
      </c>
      <c r="B45" s="1" t="n">
        <v>10</v>
      </c>
      <c r="C45" s="1" t="inlineStr">
        <is>
          <t>2. Потолок</t>
        </is>
      </c>
      <c r="D45" s="1" t="inlineStr">
        <is>
          <t>Ниша ГКЛ под скрытый карниз (материалы)</t>
        </is>
      </c>
      <c r="E45" s="1" t="inlineStr">
        <is>
          <t>компл</t>
        </is>
      </c>
      <c r="F45" s="1" t="inlineStr">
        <is>
          <t>ВСЕ</t>
        </is>
      </c>
      <c r="G45" s="1" t="inlineStr">
        <is>
          <t>Авито Саратов — поиск «Ниша ГКЛ под скрытый карниз» (новые товары магазинов и объявления)</t>
        </is>
      </c>
      <c r="H45" s="43" t="n"/>
      <c r="I45" s="43" t="n"/>
      <c r="J45" s="44" t="n"/>
      <c r="K45" s="1" t="inlineStr">
        <is>
          <t>Авито Саратов</t>
        </is>
      </c>
      <c r="L45" s="1" t="inlineStr">
        <is>
          <t>Саратов</t>
        </is>
      </c>
      <c r="M45" s="45" t="inlineStr">
        <is>
          <t>https://www.avito.ru/saratov?q=%D0%9D%D0%B8%D1%88%D0%B0%20%D0%93%D0%9A%D0%9B%20%D0%BF%D0%BE%D0%B4%20%D1%81%D0%BA%D1%80%D1%8B%D1%82%D1%8B%D0%B9%20%D0%BA%D0%B0%D1%80%D0%BD%D0%B8%D0%B7</t>
        </is>
      </c>
      <c r="N45" s="1" t="inlineStr">
        <is>
          <t>не проверено</t>
        </is>
      </c>
      <c r="O45" s="1" t="inlineStr">
        <is>
          <t>2026-09-11</t>
        </is>
      </c>
      <c r="P45" s="47" t="inlineStr">
        <is>
          <t>уточнить</t>
        </is>
      </c>
      <c r="Q4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6">
      <c r="A46" s="1" t="inlineStr">
        <is>
          <t>1_Ремонт</t>
        </is>
      </c>
      <c r="B46" s="1" t="n">
        <v>11</v>
      </c>
      <c r="C46" s="1" t="inlineStr">
        <is>
          <t>3. Сантехника</t>
        </is>
      </c>
      <c r="D46" s="1" t="inlineStr">
        <is>
          <t>Унитаз</t>
        </is>
      </c>
      <c r="E46" s="1" t="inlineStr">
        <is>
          <t>шт</t>
        </is>
      </c>
      <c r="F46" s="1" t="inlineStr">
        <is>
          <t>МИН</t>
        </is>
      </c>
      <c r="G46" s="1" t="inlineStr">
        <is>
          <t>Cersanit Trento 011 3/6 TPL, сиденье с микролифтом</t>
        </is>
      </c>
      <c r="H46" s="43" t="n">
        <v>7990</v>
      </c>
      <c r="I46" s="43" t="n">
        <v>8000</v>
      </c>
      <c r="J46" s="44" t="n">
        <v>-0.1</v>
      </c>
      <c r="K46" s="1" t="inlineStr">
        <is>
          <t>Сантехника.ру Саратов</t>
        </is>
      </c>
      <c r="L46" s="1" t="inlineStr">
        <is>
          <t>Саратов</t>
        </is>
      </c>
      <c r="M46" s="45" t="inlineStr">
        <is>
          <t>https://saratov.santehnica.ru/product/1491701.html</t>
        </is>
      </c>
      <c r="N46" s="1" t="inlineStr">
        <is>
          <t>страница</t>
        </is>
      </c>
      <c r="O46" s="1" t="inlineStr">
        <is>
          <t>2026-09-11</t>
        </is>
      </c>
      <c r="P46" s="46" t="inlineStr">
        <is>
          <t>ок</t>
        </is>
      </c>
      <c r="Q46" s="1" t="inlineStr">
        <is>
          <t>Лемана ПРО (Москва-сайт) — 7 353 ₽ за S-KO-TR011-3/6-PL-w; саратовская карточка Лемана не открылась (401)</t>
        </is>
      </c>
    </row>
    <row r="47">
      <c r="A47" s="1" t="inlineStr">
        <is>
          <t>1_Ремонт</t>
        </is>
      </c>
      <c r="B47" s="1" t="n">
        <v>11</v>
      </c>
      <c r="C47" s="1" t="inlineStr">
        <is>
          <t>3. Сантехника</t>
        </is>
      </c>
      <c r="D47" s="1" t="inlineStr">
        <is>
          <t>Унитаз</t>
        </is>
      </c>
      <c r="E47" s="1" t="inlineStr">
        <is>
          <t>шт</t>
        </is>
      </c>
      <c r="F47" s="1" t="inlineStr">
        <is>
          <t>СРЕД</t>
        </is>
      </c>
      <c r="G47" s="1" t="inlineStr">
        <is>
          <t>Cersanit City Clean On 011 3/5 DPL EO slim, безободковый, микролифт</t>
        </is>
      </c>
      <c r="H47" s="43" t="n">
        <v>12520</v>
      </c>
      <c r="I47" s="43" t="n">
        <v>18000</v>
      </c>
      <c r="J47" s="48" t="n">
        <v>-30.4</v>
      </c>
      <c r="K47" s="1" t="inlineStr">
        <is>
          <t>Сантехника.ру Саратов</t>
        </is>
      </c>
      <c r="L47" s="1" t="inlineStr">
        <is>
          <t>Саратов</t>
        </is>
      </c>
      <c r="M47" s="45" t="inlineStr">
        <is>
          <t>https://saratov.santehnica.ru/product/357399.html</t>
        </is>
      </c>
      <c r="N47" s="1" t="inlineStr">
        <is>
          <t>страница</t>
        </is>
      </c>
      <c r="O47" s="1" t="inlineStr">
        <is>
          <t>2026-09-11</t>
        </is>
      </c>
      <c r="P47" s="46" t="inlineStr">
        <is>
          <t>ок</t>
        </is>
      </c>
      <c r="Q47" s="1" t="inlineStr">
        <is>
          <t>Та же цена на cersanit.ru; Roca Gap Clean Rim не проверялся</t>
        </is>
      </c>
    </row>
    <row r="48">
      <c r="A48" s="1" t="inlineStr">
        <is>
          <t>1_Ремонт</t>
        </is>
      </c>
      <c r="B48" s="1" t="n">
        <v>11</v>
      </c>
      <c r="C48" s="1" t="inlineStr">
        <is>
          <t>3. Сантехника</t>
        </is>
      </c>
      <c r="D48" s="1" t="inlineStr">
        <is>
          <t>Унитаз</t>
        </is>
      </c>
      <c r="E48" s="1" t="inlineStr">
        <is>
          <t>шт</t>
        </is>
      </c>
      <c r="F48" s="1" t="inlineStr">
        <is>
          <t>МАКС</t>
        </is>
      </c>
      <c r="G48" s="1" t="inlineStr">
        <is>
          <t>Инсталляция Geberit Duofix + подвесной Geberit Smyle Square + клавиша (комплект)</t>
        </is>
      </c>
      <c r="H48" s="43" t="n">
        <v>83574</v>
      </c>
      <c r="I48" s="43" t="n">
        <v>45000</v>
      </c>
      <c r="J48" s="48" t="n">
        <v>85.7</v>
      </c>
      <c r="K48" s="1" t="inlineStr">
        <is>
          <t>Сантехника.ру Саратов</t>
        </is>
      </c>
      <c r="L48" s="1" t="inlineStr">
        <is>
          <t>Саратов</t>
        </is>
      </c>
      <c r="M48" s="45" t="inlineStr">
        <is>
          <t>https://saratov.santehnica.ru/product/1034211.html</t>
        </is>
      </c>
      <c r="N48" s="1" t="inlineStr">
        <is>
          <t>страница</t>
        </is>
      </c>
      <c r="O48" s="1" t="inlineStr">
        <is>
          <t>2026-09-11</t>
        </is>
      </c>
      <c r="P48" s="46" t="inlineStr">
        <is>
          <t>ок</t>
        </is>
      </c>
      <c r="Q48" s="1" t="inlineStr">
        <is>
          <t>Комплект с iCon на странице не выделен; готовые комплекты Geberit 83–87 тыс — смета МАКС 45 000 занижена; альтернатива — Duofix + унитаз Cersanit/Roca (категория «унитаз с инсталляцией Geberit от 16 793 ₽», сниппет)</t>
        </is>
      </c>
    </row>
    <row r="49">
      <c r="A49" s="1" t="inlineStr">
        <is>
          <t>1_Ремонт</t>
        </is>
      </c>
      <c r="B49" s="1" t="n">
        <v>11</v>
      </c>
      <c r="C49" s="1" t="inlineStr">
        <is>
          <t>3. Сантехника</t>
        </is>
      </c>
      <c r="D49" s="1" t="inlineStr">
        <is>
          <t>Унитаз</t>
        </is>
      </c>
      <c r="E49" s="1" t="inlineStr">
        <is>
          <t>шт</t>
        </is>
      </c>
      <c r="F49" s="1" t="inlineStr">
        <is>
          <t>ВСЕ</t>
        </is>
      </c>
      <c r="G49" s="1" t="inlineStr">
        <is>
          <t>Авито Саратов — поиск «Унитаз» (новые товары магазинов и объявления)</t>
        </is>
      </c>
      <c r="H49" s="43" t="n"/>
      <c r="I49" s="43" t="n"/>
      <c r="J49" s="44" t="n"/>
      <c r="K49" s="1" t="inlineStr">
        <is>
          <t>Авито Саратов</t>
        </is>
      </c>
      <c r="L49" s="1" t="inlineStr">
        <is>
          <t>Саратов</t>
        </is>
      </c>
      <c r="M49" s="45" t="inlineStr">
        <is>
          <t>https://www.avito.ru/saratov?q=%D0%A3%D0%BD%D0%B8%D1%82%D0%B0%D0%B7</t>
        </is>
      </c>
      <c r="N49" s="1" t="inlineStr">
        <is>
          <t>не проверено</t>
        </is>
      </c>
      <c r="O49" s="1" t="inlineStr">
        <is>
          <t>2026-09-11</t>
        </is>
      </c>
      <c r="P49" s="47" t="inlineStr">
        <is>
          <t>уточнить</t>
        </is>
      </c>
      <c r="Q4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50">
      <c r="A50" s="1" t="inlineStr">
        <is>
          <t>1_Ремонт</t>
        </is>
      </c>
      <c r="B50" s="1" t="n">
        <v>12</v>
      </c>
      <c r="C50" s="1" t="inlineStr">
        <is>
          <t>3. Сантехника</t>
        </is>
      </c>
      <c r="D50" s="1" t="inlineStr">
        <is>
          <t>Раковина (умывальник)</t>
        </is>
      </c>
      <c r="E50" s="1" t="inlineStr">
        <is>
          <t>шт</t>
        </is>
      </c>
      <c r="F50" s="1" t="inlineStr">
        <is>
          <t>МИН</t>
        </is>
      </c>
      <c r="G50" s="1" t="inlineStr">
        <is>
          <t>Santek Анимо 60 (60×48), 1.WH11.0.508</t>
        </is>
      </c>
      <c r="H50" s="43" t="n">
        <v>2990</v>
      </c>
      <c r="I50" s="43" t="n">
        <v>3000</v>
      </c>
      <c r="J50" s="44" t="n">
        <v>-0.3</v>
      </c>
      <c r="K50" s="1" t="inlineStr">
        <is>
          <t>Сантехника.ру Саратов</t>
        </is>
      </c>
      <c r="L50" s="1" t="inlineStr">
        <is>
          <t>Саратов</t>
        </is>
      </c>
      <c r="M50" s="45" t="inlineStr">
        <is>
          <t>https://saratov.santehnica.ru/product/80957.html</t>
        </is>
      </c>
      <c r="N50" s="1" t="inlineStr">
        <is>
          <t>страница</t>
        </is>
      </c>
      <c r="O50" s="1" t="inlineStr">
        <is>
          <t>2026-09-11</t>
        </is>
      </c>
      <c r="P50" s="46" t="inlineStr">
        <is>
          <t>ок</t>
        </is>
      </c>
      <c r="Q50" s="1" t="inlineStr">
        <is>
          <t>Santek Анимо 55 — 2 890 ₽</t>
        </is>
      </c>
    </row>
    <row r="51">
      <c r="A51" s="1" t="inlineStr">
        <is>
          <t>1_Ремонт</t>
        </is>
      </c>
      <c r="B51" s="1" t="n">
        <v>12</v>
      </c>
      <c r="C51" s="1" t="inlineStr">
        <is>
          <t>3. Сантехника</t>
        </is>
      </c>
      <c r="D51" s="1" t="inlineStr">
        <is>
          <t>Раковина (умывальник)</t>
        </is>
      </c>
      <c r="E51" s="1" t="inlineStr">
        <is>
          <t>шт</t>
        </is>
      </c>
      <c r="F51" s="1" t="inlineStr">
        <is>
          <t>СРЕД</t>
        </is>
      </c>
      <c r="G51" s="1" t="inlineStr">
        <is>
          <t>Roca Debba 55 с пьедесталом</t>
        </is>
      </c>
      <c r="H51" s="43" t="n">
        <v>7860</v>
      </c>
      <c r="I51" s="43" t="n">
        <v>8000</v>
      </c>
      <c r="J51" s="44" t="n">
        <v>-1.8</v>
      </c>
      <c r="K51" s="1" t="inlineStr">
        <is>
          <t>Сантехника.ру Саратов</t>
        </is>
      </c>
      <c r="L51" s="1" t="inlineStr">
        <is>
          <t>Саратов</t>
        </is>
      </c>
      <c r="M51" s="45" t="inlineStr">
        <is>
          <t>https://saratov.santehnica.ru/product/200516.html</t>
        </is>
      </c>
      <c r="N51" s="1" t="inlineStr">
        <is>
          <t>страница</t>
        </is>
      </c>
      <c r="O51" s="1" t="inlineStr">
        <is>
          <t>2026-09-11</t>
        </is>
      </c>
      <c r="P51" s="46" t="inlineStr">
        <is>
          <t>ок</t>
        </is>
      </c>
      <c r="Q51" s="1" t="inlineStr">
        <is>
          <t>Cersanit Como 70 — 6 290 ₽; Roca Gap 60 отдельно не подтверждён</t>
        </is>
      </c>
    </row>
    <row r="52">
      <c r="A52" s="1" t="inlineStr">
        <is>
          <t>1_Ремонт</t>
        </is>
      </c>
      <c r="B52" s="1" t="n">
        <v>12</v>
      </c>
      <c r="C52" s="1" t="inlineStr">
        <is>
          <t>3. Сантехника</t>
        </is>
      </c>
      <c r="D52" s="1" t="inlineStr">
        <is>
          <t>Раковина (умывальник)</t>
        </is>
      </c>
      <c r="E52" s="1" t="inlineStr">
        <is>
          <t>шт</t>
        </is>
      </c>
      <c r="F52" s="1" t="inlineStr">
        <is>
          <t>МАКС</t>
        </is>
      </c>
      <c r="G52" s="1" t="inlineStr">
        <is>
          <t>Jacob Delafon Vivienne 60</t>
        </is>
      </c>
      <c r="H52" s="43" t="n">
        <v>24852</v>
      </c>
      <c r="I52" s="43" t="n">
        <v>18000</v>
      </c>
      <c r="J52" s="48" t="n">
        <v>38.1</v>
      </c>
      <c r="K52" s="1" t="inlineStr">
        <is>
          <t>Сантехника.ру Саратов</t>
        </is>
      </c>
      <c r="L52" s="1" t="inlineStr">
        <is>
          <t>Саратов</t>
        </is>
      </c>
      <c r="M52" s="45" t="inlineStr">
        <is>
          <t>https://saratov.santehnica.ru/product/316111.html</t>
        </is>
      </c>
      <c r="N52" s="1" t="inlineStr">
        <is>
          <t>страница</t>
        </is>
      </c>
      <c r="O52" s="1" t="inlineStr">
        <is>
          <t>2026-09-11</t>
        </is>
      </c>
      <c r="P52" s="46" t="inlineStr">
        <is>
          <t>ок</t>
        </is>
      </c>
      <c r="Q52" s="1" t="inlineStr">
        <is>
          <t>Villeroy&amp;Boch O.novo 60 — 24 975 ₽</t>
        </is>
      </c>
    </row>
    <row r="53">
      <c r="A53" s="1" t="inlineStr">
        <is>
          <t>1_Ремонт</t>
        </is>
      </c>
      <c r="B53" s="1" t="n">
        <v>12</v>
      </c>
      <c r="C53" s="1" t="inlineStr">
        <is>
          <t>3. Сантехника</t>
        </is>
      </c>
      <c r="D53" s="1" t="inlineStr">
        <is>
          <t>Раковина (умывальник)</t>
        </is>
      </c>
      <c r="E53" s="1" t="inlineStr">
        <is>
          <t>шт</t>
        </is>
      </c>
      <c r="F53" s="1" t="inlineStr">
        <is>
          <t>ВСЕ</t>
        </is>
      </c>
      <c r="G53" s="1" t="inlineStr">
        <is>
          <t>Авито Саратов — поиск «Раковина» (новые товары магазинов и объявления)</t>
        </is>
      </c>
      <c r="H53" s="43" t="n"/>
      <c r="I53" s="43" t="n"/>
      <c r="J53" s="44" t="n"/>
      <c r="K53" s="1" t="inlineStr">
        <is>
          <t>Авито Саратов</t>
        </is>
      </c>
      <c r="L53" s="1" t="inlineStr">
        <is>
          <t>Саратов</t>
        </is>
      </c>
      <c r="M53" s="45" t="inlineStr">
        <is>
          <t>https://www.avito.ru/saratov?q=%D0%A0%D0%B0%D0%BA%D0%BE%D0%B2%D0%B8%D0%BD%D0%B0</t>
        </is>
      </c>
      <c r="N53" s="1" t="inlineStr">
        <is>
          <t>не проверено</t>
        </is>
      </c>
      <c r="O53" s="1" t="inlineStr">
        <is>
          <t>2026-09-11</t>
        </is>
      </c>
      <c r="P53" s="47" t="inlineStr">
        <is>
          <t>уточнить</t>
        </is>
      </c>
      <c r="Q5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54">
      <c r="A54" s="1" t="inlineStr">
        <is>
          <t>1_Ремонт</t>
        </is>
      </c>
      <c r="B54" s="1" t="n">
        <v>13</v>
      </c>
      <c r="C54" s="1" t="inlineStr">
        <is>
          <t>3. Сантехника</t>
        </is>
      </c>
      <c r="D54" s="1" t="inlineStr">
        <is>
          <t>Смеситель для раковины</t>
        </is>
      </c>
      <c r="E54" s="1" t="inlineStr">
        <is>
          <t>шт</t>
        </is>
      </c>
      <c r="F54" s="1" t="inlineStr">
        <is>
          <t>МИН</t>
        </is>
      </c>
      <c r="G54" s="1" t="inlineStr">
        <is>
          <t>Lemark Plus Advance LM1206C (монолитный)</t>
        </is>
      </c>
      <c r="H54" s="43" t="n">
        <v>2410</v>
      </c>
      <c r="I54" s="43" t="n">
        <v>2500</v>
      </c>
      <c r="J54" s="44" t="n">
        <v>-3.6</v>
      </c>
      <c r="K54" s="1" t="inlineStr">
        <is>
          <t>Сантехника-Онлайн</t>
        </is>
      </c>
      <c r="L54" s="1" t="inlineStr">
        <is>
          <t>доставка в Саратов</t>
        </is>
      </c>
      <c r="M54" s="45" t="inlineStr">
        <is>
          <t>https://santehnika-online.ru/product/smesitel_lemark_plus_advance_lm1206c_dlya_rakoviny/</t>
        </is>
      </c>
      <c r="N54" s="1" t="inlineStr">
        <is>
          <t>сниппет</t>
        </is>
      </c>
      <c r="O54" s="1" t="inlineStr">
        <is>
          <t>2026-09-11</t>
        </is>
      </c>
      <c r="P54" s="46" t="inlineStr">
        <is>
          <t>ок</t>
        </is>
      </c>
      <c r="Q54" s="1" t="inlineStr">
        <is>
          <t>Iddis Odda ODDWT00i01 — 4 700 ₽ (Лемана ПРО, Москва-сайт); «Iddis Sena 690 ₽» на Сантехника.ру Саратов выглядит как ошибка/неполный товар — не брать</t>
        </is>
      </c>
    </row>
    <row r="55">
      <c r="A55" s="1" t="inlineStr">
        <is>
          <t>1_Ремонт</t>
        </is>
      </c>
      <c r="B55" s="1" t="n">
        <v>13</v>
      </c>
      <c r="C55" s="1" t="inlineStr">
        <is>
          <t>3. Сантехника</t>
        </is>
      </c>
      <c r="D55" s="1" t="inlineStr">
        <is>
          <t>Смеситель для раковины</t>
        </is>
      </c>
      <c r="E55" s="1" t="inlineStr">
        <is>
          <t>шт</t>
        </is>
      </c>
      <c r="F55" s="1" t="inlineStr">
        <is>
          <t>СРЕД</t>
        </is>
      </c>
      <c r="G55" s="1" t="inlineStr">
        <is>
          <t>Lemark Plus Advance LM1116C</t>
        </is>
      </c>
      <c r="H55" s="43" t="n">
        <v>8619</v>
      </c>
      <c r="I55" s="43" t="n">
        <v>7000</v>
      </c>
      <c r="J55" s="44" t="n">
        <v>23.1</v>
      </c>
      <c r="K55" s="1" t="inlineStr">
        <is>
          <t>Сантехника.ру Саратов</t>
        </is>
      </c>
      <c r="L55" s="1" t="inlineStr">
        <is>
          <t>Саратов</t>
        </is>
      </c>
      <c r="M55" s="45" t="inlineStr">
        <is>
          <t>https://saratov.santehnica.ru/product/105713.html</t>
        </is>
      </c>
      <c r="N55" s="1" t="inlineStr">
        <is>
          <t>страница</t>
        </is>
      </c>
      <c r="O55" s="1" t="inlineStr">
        <is>
          <t>2026-09-11</t>
        </is>
      </c>
      <c r="P55" s="46" t="inlineStr">
        <is>
          <t>ок</t>
        </is>
      </c>
      <c r="Q55" s="1" t="inlineStr">
        <is>
          <t>Hansgrohe Logis 71101000 — 11 920 ₽ там же; Lemark Plus Grace LM1506C — 4 672 ₽; Grohe BauEdge не проверен</t>
        </is>
      </c>
    </row>
    <row r="56">
      <c r="A56" s="1" t="inlineStr">
        <is>
          <t>1_Ремонт</t>
        </is>
      </c>
      <c r="B56" s="1" t="n">
        <v>13</v>
      </c>
      <c r="C56" s="1" t="inlineStr">
        <is>
          <t>3. Сантехника</t>
        </is>
      </c>
      <c r="D56" s="1" t="inlineStr">
        <is>
          <t>Смеситель для раковины</t>
        </is>
      </c>
      <c r="E56" s="1" t="inlineStr">
        <is>
          <t>шт</t>
        </is>
      </c>
      <c r="F56" s="1" t="inlineStr">
        <is>
          <t>МАКС</t>
        </is>
      </c>
      <c r="G56" s="1" t="inlineStr">
        <is>
          <t>Hansgrohe Talis E 71710000</t>
        </is>
      </c>
      <c r="H56" s="43" t="n">
        <v>17768</v>
      </c>
      <c r="I56" s="43" t="n">
        <v>18000</v>
      </c>
      <c r="J56" s="44" t="n">
        <v>-1.3</v>
      </c>
      <c r="K56" s="1" t="inlineStr">
        <is>
          <t>ENTERO.RU</t>
        </is>
      </c>
      <c r="L56" s="1" t="inlineStr">
        <is>
          <t>доставка в Саратов</t>
        </is>
      </c>
      <c r="M56" s="45" t="inlineStr">
        <is>
          <t>https://entero.ru/item/159848</t>
        </is>
      </c>
      <c r="N56" s="1" t="inlineStr">
        <is>
          <t>сниппет</t>
        </is>
      </c>
      <c r="O56" s="1" t="inlineStr">
        <is>
          <t>2026-09-11</t>
        </is>
      </c>
      <c r="P56" s="46" t="inlineStr">
        <is>
          <t>ок</t>
        </is>
      </c>
      <c r="Q56" s="1" t="inlineStr">
        <is>
          <t>В Саратове (Сантехника.ру, страница): Hansgrohe Vernis Blend 71551000 — 12 629 ₽, Logis Fine 71253000 — 14 676 ₽; разброс по Talis E 17 768–26 047 ₽</t>
        </is>
      </c>
    </row>
    <row r="57">
      <c r="A57" s="1" t="inlineStr">
        <is>
          <t>1_Ремонт</t>
        </is>
      </c>
      <c r="B57" s="1" t="n">
        <v>13</v>
      </c>
      <c r="C57" s="1" t="inlineStr">
        <is>
          <t>3. Сантехника</t>
        </is>
      </c>
      <c r="D57" s="1" t="inlineStr">
        <is>
          <t>Смеситель для раковины</t>
        </is>
      </c>
      <c r="E57" s="1" t="inlineStr">
        <is>
          <t>шт</t>
        </is>
      </c>
      <c r="F57" s="1" t="inlineStr">
        <is>
          <t>ВСЕ</t>
        </is>
      </c>
      <c r="G57" s="1" t="inlineStr">
        <is>
          <t>Авито Саратов — поиск «Смеситель для раковины» (новые товары магазинов и объявления)</t>
        </is>
      </c>
      <c r="H57" s="43" t="n"/>
      <c r="I57" s="43" t="n"/>
      <c r="J57" s="44" t="n"/>
      <c r="K57" s="1" t="inlineStr">
        <is>
          <t>Авито Саратов</t>
        </is>
      </c>
      <c r="L57" s="1" t="inlineStr">
        <is>
          <t>Саратов</t>
        </is>
      </c>
      <c r="M57" s="45" t="inlineStr">
        <is>
          <t>https://www.avito.ru/saratov?q=%D0%A1%D0%BC%D0%B5%D1%81%D0%B8%D1%82%D0%B5%D0%BB%D1%8C%20%D0%B4%D0%BB%D1%8F%20%D1%80%D0%B0%D0%BA%D0%BE%D0%B2%D0%B8%D0%BD%D1%8B</t>
        </is>
      </c>
      <c r="N57" s="1" t="inlineStr">
        <is>
          <t>не проверено</t>
        </is>
      </c>
      <c r="O57" s="1" t="inlineStr">
        <is>
          <t>2026-09-11</t>
        </is>
      </c>
      <c r="P57" s="47" t="inlineStr">
        <is>
          <t>уточнить</t>
        </is>
      </c>
      <c r="Q5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58">
      <c r="A58" s="1" t="inlineStr">
        <is>
          <t>1_Ремонт</t>
        </is>
      </c>
      <c r="B58" s="1" t="n">
        <v>14</v>
      </c>
      <c r="C58" s="1" t="inlineStr">
        <is>
          <t>3. Сантехника</t>
        </is>
      </c>
      <c r="D58" s="1" t="inlineStr">
        <is>
          <t>Сифон + подводки для раковины</t>
        </is>
      </c>
      <c r="E58" s="1" t="inlineStr">
        <is>
          <t>шт</t>
        </is>
      </c>
      <c r="F58" s="1" t="inlineStr">
        <is>
          <t>МИН</t>
        </is>
      </c>
      <c r="G58" s="1" t="inlineStr">
        <is>
          <t>Бутылочный сифон пластик (АНИ Пласт/Unicorn) + 2 гибкие подводки</t>
        </is>
      </c>
      <c r="H58" s="43" t="n"/>
      <c r="I58" s="43" t="n">
        <v>700</v>
      </c>
      <c r="J58" s="44" t="n"/>
      <c r="K58" s="1" t="inlineStr">
        <is>
          <t>Лемана ПРО Саратов</t>
        </is>
      </c>
      <c r="L58" s="1" t="inlineStr">
        <is>
          <t>Саратов</t>
        </is>
      </c>
      <c r="M58" s="45" t="inlineStr">
        <is>
          <t>https://saratov.lemanapro.ru/catalogue/sifony/butylochnye-dlya-rakoviny/</t>
        </is>
      </c>
      <c r="N58" s="1" t="inlineStr">
        <is>
          <t>сниппет</t>
        </is>
      </c>
      <c r="O58" s="1" t="inlineStr">
        <is>
          <t>2026-09-11</t>
        </is>
      </c>
      <c r="P58" s="47" t="inlineStr">
        <is>
          <t>уточнить</t>
        </is>
      </c>
      <c r="Q58" s="1" t="inlineStr">
        <is>
          <t>Категория «бутылочные сифоны от 134 ₽» (сниппет), конкретная модель и подводка не подтверждены; сайт Лемана блокирует загрузку (401)</t>
        </is>
      </c>
    </row>
    <row r="59">
      <c r="A59" s="1" t="inlineStr">
        <is>
          <t>1_Ремонт</t>
        </is>
      </c>
      <c r="B59" s="1" t="n">
        <v>14</v>
      </c>
      <c r="C59" s="1" t="inlineStr">
        <is>
          <t>3. Сантехника</t>
        </is>
      </c>
      <c r="D59" s="1" t="inlineStr">
        <is>
          <t>Сифон + подводки для раковины</t>
        </is>
      </c>
      <c r="E59" s="1" t="inlineStr">
        <is>
          <t>шт</t>
        </is>
      </c>
      <c r="F59" s="1" t="inlineStr">
        <is>
          <t>СРЕД</t>
        </is>
      </c>
      <c r="G59" s="1" t="inlineStr">
        <is>
          <t>Сифон Unicorn ABS с регулировкой высоты + подводки</t>
        </is>
      </c>
      <c r="H59" s="43" t="n"/>
      <c r="I59" s="43" t="n">
        <v>1500</v>
      </c>
      <c r="J59" s="44" t="n"/>
      <c r="K59" s="1" t="inlineStr">
        <is>
          <t>Ozon</t>
        </is>
      </c>
      <c r="L59" s="1" t="inlineStr">
        <is>
          <t>доставка в Саратов</t>
        </is>
      </c>
      <c r="M59" s="45" t="inlineStr">
        <is>
          <t>https://www.ozon.ru/category/sifony-dlya-santehniki-10312/unicorn-87304659/</t>
        </is>
      </c>
      <c r="N59" s="1" t="inlineStr">
        <is>
          <t>сниппет</t>
        </is>
      </c>
      <c r="O59" s="1" t="inlineStr">
        <is>
          <t>2026-09-11</t>
        </is>
      </c>
      <c r="P59" s="47" t="inlineStr">
        <is>
          <t>уточнить</t>
        </is>
      </c>
      <c r="Q59" s="1" t="inlineStr">
        <is>
          <t>Сниппет Ozon: Unicorn 506–1 241 ₽ без привязки к модели; цена комплекта не подтверждена</t>
        </is>
      </c>
    </row>
    <row r="60">
      <c r="A60" s="1" t="inlineStr">
        <is>
          <t>1_Ремонт</t>
        </is>
      </c>
      <c r="B60" s="1" t="n">
        <v>14</v>
      </c>
      <c r="C60" s="1" t="inlineStr">
        <is>
          <t>3. Сантехника</t>
        </is>
      </c>
      <c r="D60" s="1" t="inlineStr">
        <is>
          <t>Сифон + подводки для раковины</t>
        </is>
      </c>
      <c r="E60" s="1" t="inlineStr">
        <is>
          <t>шт</t>
        </is>
      </c>
      <c r="F60" s="1" t="inlineStr">
        <is>
          <t>МАКС</t>
        </is>
      </c>
      <c r="G60" s="1" t="inlineStr">
        <is>
          <t>Сифон McAlpine / Geberit хром + подводки в оплётке</t>
        </is>
      </c>
      <c r="H60" s="43" t="n"/>
      <c r="I60" s="43" t="n">
        <v>3500</v>
      </c>
      <c r="J60" s="44" t="n"/>
      <c r="K60" s="1" t="inlineStr">
        <is>
          <t>Яндекс Маркет</t>
        </is>
      </c>
      <c r="L60" s="1" t="inlineStr">
        <is>
          <t>доставка в Саратов</t>
        </is>
      </c>
      <c r="M60" s="45" t="inlineStr">
        <is>
          <t>https://market.yandex.ru/category/sifony-dlya-rakovin</t>
        </is>
      </c>
      <c r="N60" s="1" t="inlineStr">
        <is>
          <t>не проверено</t>
        </is>
      </c>
      <c r="O60" s="1" t="inlineStr">
        <is>
          <t>2026-09-11</t>
        </is>
      </c>
      <c r="P60" s="47" t="inlineStr">
        <is>
          <t>уточнить</t>
        </is>
      </c>
      <c r="Q60" s="1" t="inlineStr">
        <is>
          <t>Цены в сниппетах не показаны</t>
        </is>
      </c>
    </row>
    <row r="61">
      <c r="A61" s="1" t="inlineStr">
        <is>
          <t>1_Ремонт</t>
        </is>
      </c>
      <c r="B61" s="1" t="n">
        <v>14</v>
      </c>
      <c r="C61" s="1" t="inlineStr">
        <is>
          <t>3. Сантехника</t>
        </is>
      </c>
      <c r="D61" s="1" t="inlineStr">
        <is>
          <t>Сифон + подводки для раковины</t>
        </is>
      </c>
      <c r="E61" s="1" t="inlineStr">
        <is>
          <t>шт</t>
        </is>
      </c>
      <c r="F61" s="1" t="inlineStr">
        <is>
          <t>ВСЕ</t>
        </is>
      </c>
      <c r="G61" s="1" t="inlineStr">
        <is>
          <t>Авито Саратов — поиск «Сифон + подводки для раковины» (новые товары магазинов и объявления)</t>
        </is>
      </c>
      <c r="H61" s="43" t="n"/>
      <c r="I61" s="43" t="n"/>
      <c r="J61" s="44" t="n"/>
      <c r="K61" s="1" t="inlineStr">
        <is>
          <t>Авито Саратов</t>
        </is>
      </c>
      <c r="L61" s="1" t="inlineStr">
        <is>
          <t>Саратов</t>
        </is>
      </c>
      <c r="M61" s="45" t="inlineStr">
        <is>
          <t>https://www.avito.ru/saratov?q=%D0%A1%D0%B8%D1%84%D0%BE%D0%BD%20%2B%20%D0%BF%D0%BE%D0%B4%D0%B2%D0%BE%D0%B4%D0%BA%D0%B8%20%D0%B4%D0%BB%D1%8F%20%D1%80%D0%B0%D0%BA%D0%BE%D0%B2%D0%B8%D0%BD%D1%8B</t>
        </is>
      </c>
      <c r="N61" s="1" t="inlineStr">
        <is>
          <t>не проверено</t>
        </is>
      </c>
      <c r="O61" s="1" t="inlineStr">
        <is>
          <t>2026-09-11</t>
        </is>
      </c>
      <c r="P61" s="47" t="inlineStr">
        <is>
          <t>уточнить</t>
        </is>
      </c>
      <c r="Q6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62">
      <c r="A62" s="1" t="inlineStr">
        <is>
          <t>1_Ремонт</t>
        </is>
      </c>
      <c r="B62" s="1" t="n">
        <v>15</v>
      </c>
      <c r="C62" s="1" t="inlineStr">
        <is>
          <t>3. Сантехника</t>
        </is>
      </c>
      <c r="D62" s="1" t="inlineStr">
        <is>
          <t>Тумба под раковину</t>
        </is>
      </c>
      <c r="E62" s="1" t="inlineStr">
        <is>
          <t>шт</t>
        </is>
      </c>
      <c r="F62" s="1" t="inlineStr">
        <is>
          <t>МИН</t>
        </is>
      </c>
      <c r="G62" s="1" t="inlineStr">
        <is>
          <t>Тумба Руан напольная 57 см + раковина Cersanit Colour 60 (комплект)</t>
        </is>
      </c>
      <c r="H62" s="43" t="n">
        <v>11500</v>
      </c>
      <c r="I62" s="43" t="n">
        <v>6000</v>
      </c>
      <c r="J62" s="48" t="n">
        <v>91.7</v>
      </c>
      <c r="K62" s="1" t="inlineStr">
        <is>
          <t>Лемана ПРО Саратов</t>
        </is>
      </c>
      <c r="L62" s="1" t="inlineStr">
        <is>
          <t>Саратов</t>
        </is>
      </c>
      <c r="M62" s="45" t="inlineStr">
        <is>
          <t>https://saratov.lemanapro.ru/set/tumba-pod-rakovinu-ruan-napolnaya-57-sm-cvet-belyy-dub-sonoma-s-rakovinoy-cersanit-colour-keramika-60-sm-cvet-belyy-89432379/</t>
        </is>
      </c>
      <c r="N62" s="1" t="inlineStr">
        <is>
          <t>сниппет</t>
        </is>
      </c>
      <c r="O62" s="1" t="inlineStr">
        <is>
          <t>2026-09-11</t>
        </is>
      </c>
      <c r="P62" s="46" t="inlineStr">
        <is>
          <t>ок</t>
        </is>
      </c>
      <c r="Q62" s="1" t="inlineStr">
        <is>
          <t>Цена именно для Саратова, но включает раковину (в смете раковина отдельной строкой); Sensea отдельно не подтверждён (401)</t>
        </is>
      </c>
    </row>
    <row r="63">
      <c r="A63" s="1" t="inlineStr">
        <is>
          <t>1_Ремонт</t>
        </is>
      </c>
      <c r="B63" s="1" t="n">
        <v>15</v>
      </c>
      <c r="C63" s="1" t="inlineStr">
        <is>
          <t>3. Сантехника</t>
        </is>
      </c>
      <c r="D63" s="1" t="inlineStr">
        <is>
          <t>Тумба под раковину</t>
        </is>
      </c>
      <c r="E63" s="1" t="inlineStr">
        <is>
          <t>шт</t>
        </is>
      </c>
      <c r="F63" s="1" t="inlineStr">
        <is>
          <t>СРЕД</t>
        </is>
      </c>
      <c r="G63" s="1" t="inlineStr">
        <is>
          <t>Aquaton Онда 60 подвесная 1A122801ON010 (без раковины)</t>
        </is>
      </c>
      <c r="H63" s="43" t="n">
        <v>12490</v>
      </c>
      <c r="I63" s="43" t="n">
        <v>18000</v>
      </c>
      <c r="J63" s="48" t="n">
        <v>-30.6</v>
      </c>
      <c r="K63" s="1" t="inlineStr">
        <is>
          <t>Сантехника.ру Саратов</t>
        </is>
      </c>
      <c r="L63" s="1" t="inlineStr">
        <is>
          <t>Саратов</t>
        </is>
      </c>
      <c r="M63" s="45" t="inlineStr">
        <is>
          <t>https://saratov.santehnica.ru/product/54261.html</t>
        </is>
      </c>
      <c r="N63" s="1" t="inlineStr">
        <is>
          <t>страница</t>
        </is>
      </c>
      <c r="O63" s="1" t="inlineStr">
        <is>
          <t>2026-09-11</t>
        </is>
      </c>
      <c r="P63" s="46" t="inlineStr">
        <is>
          <t>ок</t>
        </is>
      </c>
      <c r="Q63" s="1" t="inlineStr">
        <is>
          <t>Aquaton Нортон 80 подвесная — 18 990 ₽; Aquaton Hope 60 — 18 650 ₽ (Сантехника-Онлайн, сниппет)</t>
        </is>
      </c>
    </row>
    <row r="64">
      <c r="A64" s="1" t="inlineStr">
        <is>
          <t>1_Ремонт</t>
        </is>
      </c>
      <c r="B64" s="1" t="n">
        <v>15</v>
      </c>
      <c r="C64" s="1" t="inlineStr">
        <is>
          <t>3. Сантехника</t>
        </is>
      </c>
      <c r="D64" s="1" t="inlineStr">
        <is>
          <t>Тумба под раковину</t>
        </is>
      </c>
      <c r="E64" s="1" t="inlineStr">
        <is>
          <t>шт</t>
        </is>
      </c>
      <c r="F64" s="1" t="inlineStr">
        <is>
          <t>МАКС</t>
        </is>
      </c>
      <c r="G64" s="1" t="inlineStr">
        <is>
          <t>Jacob Delafon Tolbiac 60 EB2381-J5 (без раковины)</t>
        </is>
      </c>
      <c r="H64" s="43" t="n">
        <v>23921</v>
      </c>
      <c r="I64" s="43" t="n">
        <v>45000</v>
      </c>
      <c r="J64" s="48" t="n">
        <v>-46.8</v>
      </c>
      <c r="K64" s="1" t="inlineStr">
        <is>
          <t>Сантехника.ру Саратов</t>
        </is>
      </c>
      <c r="L64" s="1" t="inlineStr">
        <is>
          <t>Саратов</t>
        </is>
      </c>
      <c r="M64" s="45" t="inlineStr">
        <is>
          <t>https://saratov.santehnica.ru/product/350955.html</t>
        </is>
      </c>
      <c r="N64" s="1" t="inlineStr">
        <is>
          <t>страница</t>
        </is>
      </c>
      <c r="O64" s="1" t="inlineStr">
        <is>
          <t>2026-09-11</t>
        </is>
      </c>
      <c r="P64" s="46" t="inlineStr">
        <is>
          <t>ок</t>
        </is>
      </c>
      <c r="Q64" s="1" t="inlineStr">
        <is>
          <t>Tolbiac 80 EB2382-J5 — 26 087 ₽; Cezares не проверен</t>
        </is>
      </c>
    </row>
    <row r="65">
      <c r="A65" s="1" t="inlineStr">
        <is>
          <t>1_Ремонт</t>
        </is>
      </c>
      <c r="B65" s="1" t="n">
        <v>15</v>
      </c>
      <c r="C65" s="1" t="inlineStr">
        <is>
          <t>3. Сантехника</t>
        </is>
      </c>
      <c r="D65" s="1" t="inlineStr">
        <is>
          <t>Тумба под раковину</t>
        </is>
      </c>
      <c r="E65" s="1" t="inlineStr">
        <is>
          <t>шт</t>
        </is>
      </c>
      <c r="F65" s="1" t="inlineStr">
        <is>
          <t>ВСЕ</t>
        </is>
      </c>
      <c r="G65" s="1" t="inlineStr">
        <is>
          <t>Авито Саратов — поиск «Тумба под раковину» (новые товары магазинов и объявления)</t>
        </is>
      </c>
      <c r="H65" s="43" t="n"/>
      <c r="I65" s="43" t="n"/>
      <c r="J65" s="44" t="n"/>
      <c r="K65" s="1" t="inlineStr">
        <is>
          <t>Авито Саратов</t>
        </is>
      </c>
      <c r="L65" s="1" t="inlineStr">
        <is>
          <t>Саратов</t>
        </is>
      </c>
      <c r="M65" s="45" t="inlineStr">
        <is>
          <t>https://www.avito.ru/saratov?q=%D0%A2%D1%83%D0%BC%D0%B1%D0%B0%20%D0%BF%D0%BE%D0%B4%20%D1%80%D0%B0%D0%BA%D0%BE%D0%B2%D0%B8%D0%BD%D1%83</t>
        </is>
      </c>
      <c r="N65" s="1" t="inlineStr">
        <is>
          <t>не проверено</t>
        </is>
      </c>
      <c r="O65" s="1" t="inlineStr">
        <is>
          <t>2026-09-11</t>
        </is>
      </c>
      <c r="P65" s="47" t="inlineStr">
        <is>
          <t>уточнить</t>
        </is>
      </c>
      <c r="Q6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66">
      <c r="A66" s="1" t="inlineStr">
        <is>
          <t>1_Ремонт</t>
        </is>
      </c>
      <c r="B66" s="1" t="n">
        <v>16</v>
      </c>
      <c r="C66" s="1" t="inlineStr">
        <is>
          <t>3. Сантехника</t>
        </is>
      </c>
      <c r="D66" s="1" t="inlineStr">
        <is>
          <t>Смеситель для душа + душевая стойка</t>
        </is>
      </c>
      <c r="E66" s="1" t="inlineStr">
        <is>
          <t>компл</t>
        </is>
      </c>
      <c r="F66" s="1" t="inlineStr">
        <is>
          <t>МИН</t>
        </is>
      </c>
      <c r="G66" s="1" t="inlineStr">
        <is>
          <t>Iddis Axes 003WTS0i08 душевая стойка со смесителем</t>
        </is>
      </c>
      <c r="H66" s="43" t="n">
        <v>7190</v>
      </c>
      <c r="I66" s="43" t="n">
        <v>4000</v>
      </c>
      <c r="J66" s="48" t="n">
        <v>79.8</v>
      </c>
      <c r="K66" s="1" t="inlineStr">
        <is>
          <t>Сантехника.ру Саратов</t>
        </is>
      </c>
      <c r="L66" s="1" t="inlineStr">
        <is>
          <t>Саратов</t>
        </is>
      </c>
      <c r="M66" s="45" t="inlineStr">
        <is>
          <t>https://saratov.santehnica.ru/product/350555.html</t>
        </is>
      </c>
      <c r="N66" s="1" t="inlineStr">
        <is>
          <t>страница</t>
        </is>
      </c>
      <c r="O66" s="1" t="inlineStr">
        <is>
          <t>2026-09-11</t>
        </is>
      </c>
      <c r="P66" s="46" t="inlineStr">
        <is>
          <t>ок</t>
        </is>
      </c>
      <c r="Q66" s="1" t="inlineStr">
        <is>
          <t>Цена со скидкой 40%; ESKO St300 в Лемана ПРО Саратов есть, цена не получена (401)</t>
        </is>
      </c>
    </row>
    <row r="67">
      <c r="A67" s="1" t="inlineStr">
        <is>
          <t>1_Ремонт</t>
        </is>
      </c>
      <c r="B67" s="1" t="n">
        <v>16</v>
      </c>
      <c r="C67" s="1" t="inlineStr">
        <is>
          <t>3. Сантехника</t>
        </is>
      </c>
      <c r="D67" s="1" t="inlineStr">
        <is>
          <t>Смеситель для душа + душевая стойка</t>
        </is>
      </c>
      <c r="E67" s="1" t="inlineStr">
        <is>
          <t>компл</t>
        </is>
      </c>
      <c r="F67" s="1" t="inlineStr">
        <is>
          <t>СРЕД</t>
        </is>
      </c>
      <c r="G67" s="1" t="inlineStr">
        <is>
          <t>Lemark Tropic LM7002C душевая система</t>
        </is>
      </c>
      <c r="H67" s="43" t="n">
        <v>15830</v>
      </c>
      <c r="I67" s="43" t="n">
        <v>15000</v>
      </c>
      <c r="J67" s="44" t="n">
        <v>5.5</v>
      </c>
      <c r="K67" s="1" t="inlineStr">
        <is>
          <t>Wodolei.ru</t>
        </is>
      </c>
      <c r="L67" s="1" t="inlineStr">
        <is>
          <t>доставка в Саратов</t>
        </is>
      </c>
      <c r="M67" s="45" t="inlineStr">
        <is>
          <t>https://wodolei.ru/catalog/dushevie_paneli/lemark-tropic-lm7002c-161890-item/</t>
        </is>
      </c>
      <c r="N67" s="1" t="inlineStr">
        <is>
          <t>сниппет</t>
        </is>
      </c>
      <c r="O67" s="1" t="inlineStr">
        <is>
          <t>2026-09-11</t>
        </is>
      </c>
      <c r="P67" s="46" t="inlineStr">
        <is>
          <t>ок</t>
        </is>
      </c>
      <c r="Q67" s="1" t="inlineStr">
        <is>
          <t>В Саратове (Сантехника.ру, страница): Lemark Tropic LM7010C с термостатом — 28 826 ₽, Linara LM0462C — 25 490 ₽; разброс по LM7002C 15 830–26 459 ₽</t>
        </is>
      </c>
    </row>
    <row r="68">
      <c r="A68" s="1" t="inlineStr">
        <is>
          <t>1_Ремонт</t>
        </is>
      </c>
      <c r="B68" s="1" t="n">
        <v>16</v>
      </c>
      <c r="C68" s="1" t="inlineStr">
        <is>
          <t>3. Сантехника</t>
        </is>
      </c>
      <c r="D68" s="1" t="inlineStr">
        <is>
          <t>Смеситель для душа + душевая стойка</t>
        </is>
      </c>
      <c r="E68" s="1" t="inlineStr">
        <is>
          <t>компл</t>
        </is>
      </c>
      <c r="F68" s="1" t="inlineStr">
        <is>
          <t>МАКС</t>
        </is>
      </c>
      <c r="G68" s="1" t="inlineStr">
        <is>
          <t>Hansgrohe Crometta S 240 Showerpipe 27267000</t>
        </is>
      </c>
      <c r="H68" s="43" t="n">
        <v>61911</v>
      </c>
      <c r="I68" s="43" t="n">
        <v>45000</v>
      </c>
      <c r="J68" s="48" t="n">
        <v>37.6</v>
      </c>
      <c r="K68" s="1" t="inlineStr">
        <is>
          <t>Сантехника.ру Саратов</t>
        </is>
      </c>
      <c r="L68" s="1" t="inlineStr">
        <is>
          <t>Саратов</t>
        </is>
      </c>
      <c r="M68" s="45" t="inlineStr">
        <is>
          <t>https://saratov.santehnica.ru/product/100552.html</t>
        </is>
      </c>
      <c r="N68" s="1" t="inlineStr">
        <is>
          <t>страница</t>
        </is>
      </c>
      <c r="O68" s="1" t="inlineStr">
        <is>
          <t>2026-09-11</t>
        </is>
      </c>
      <c r="P68" s="46" t="inlineStr">
        <is>
          <t>ок</t>
        </is>
      </c>
      <c r="Q68" s="1" t="inlineStr">
        <is>
          <t>Croma Select S 280 — 121–129 тыс ₽ (сниппет), вне бюджета</t>
        </is>
      </c>
    </row>
    <row r="69">
      <c r="A69" s="1" t="inlineStr">
        <is>
          <t>1_Ремонт</t>
        </is>
      </c>
      <c r="B69" s="1" t="n">
        <v>16</v>
      </c>
      <c r="C69" s="1" t="inlineStr">
        <is>
          <t>3. Сантехника</t>
        </is>
      </c>
      <c r="D69" s="1" t="inlineStr">
        <is>
          <t>Смеситель для душа + душевая стойка</t>
        </is>
      </c>
      <c r="E69" s="1" t="inlineStr">
        <is>
          <t>компл</t>
        </is>
      </c>
      <c r="F69" s="1" t="inlineStr">
        <is>
          <t>ВСЕ</t>
        </is>
      </c>
      <c r="G69" s="1" t="inlineStr">
        <is>
          <t>Авито Саратов — поиск «Смеситель для душа + душевая стойка» (новые товары магазинов и объявления)</t>
        </is>
      </c>
      <c r="H69" s="43" t="n"/>
      <c r="I69" s="43" t="n"/>
      <c r="J69" s="44" t="n"/>
      <c r="K69" s="1" t="inlineStr">
        <is>
          <t>Авито Саратов</t>
        </is>
      </c>
      <c r="L69" s="1" t="inlineStr">
        <is>
          <t>Саратов</t>
        </is>
      </c>
      <c r="M69" s="45" t="inlineStr">
        <is>
          <t>https://www.avito.ru/saratov?q=%D0%A1%D0%BC%D0%B5%D1%81%D0%B8%D1%82%D0%B5%D0%BB%D1%8C%20%D0%B4%D0%BB%D1%8F%20%D0%B4%D1%83%D1%88%D0%B0%20%2B%20%D0%B4%D1%83%D1%88%D0%B5%D0%B2%D0%B0%D1%8F%20%D1%81%D1%82%D0%BE%D0%B9%D0%BA%D0%B0</t>
        </is>
      </c>
      <c r="N69" s="1" t="inlineStr">
        <is>
          <t>не проверено</t>
        </is>
      </c>
      <c r="O69" s="1" t="inlineStr">
        <is>
          <t>2026-09-11</t>
        </is>
      </c>
      <c r="P69" s="47" t="inlineStr">
        <is>
          <t>уточнить</t>
        </is>
      </c>
      <c r="Q6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70">
      <c r="A70" s="1" t="inlineStr">
        <is>
          <t>1_Ремонт</t>
        </is>
      </c>
      <c r="B70" s="1" t="n">
        <v>17</v>
      </c>
      <c r="C70" s="1" t="inlineStr">
        <is>
          <t>3. Сантехника</t>
        </is>
      </c>
      <c r="D70" s="1" t="inlineStr">
        <is>
          <t>Ограждение душевого подиума</t>
        </is>
      </c>
      <c r="E70" s="1" t="inlineStr">
        <is>
          <t>шт</t>
        </is>
      </c>
      <c r="F70" s="1" t="inlineStr">
        <is>
          <t>МИН</t>
        </is>
      </c>
      <c r="G70" s="1" t="inlineStr">
        <is>
          <t>Штанга для шторки + шторка</t>
        </is>
      </c>
      <c r="H70" s="43" t="n"/>
      <c r="I70" s="43" t="n">
        <v>3000</v>
      </c>
      <c r="J70" s="44" t="n"/>
      <c r="K70" s="1" t="inlineStr">
        <is>
          <t>Лемана ПРО Саратов</t>
        </is>
      </c>
      <c r="L70" s="1" t="inlineStr">
        <is>
          <t>Саратов</t>
        </is>
      </c>
      <c r="M70" s="45" t="inlineStr">
        <is>
          <t>https://saratov.lemanapro.ru/catalogue/shtorki-dlya-vannoy/</t>
        </is>
      </c>
      <c r="N70" s="1" t="inlineStr">
        <is>
          <t>сниппет</t>
        </is>
      </c>
      <c r="O70" s="1" t="inlineStr">
        <is>
          <t>2026-09-11</t>
        </is>
      </c>
      <c r="P70" s="47" t="inlineStr">
        <is>
          <t>уточнить</t>
        </is>
      </c>
      <c r="Q70" s="1" t="inlineStr">
        <is>
          <t>Категории: штанги прямые от 125 ₽, угловые от 1 041 ₽, шторки 75 см от 1 260 ₽ (сниппеты, не Саратов); комплект не подтверждён</t>
        </is>
      </c>
    </row>
    <row r="71">
      <c r="A71" s="1" t="inlineStr">
        <is>
          <t>1_Ремонт</t>
        </is>
      </c>
      <c r="B71" s="1" t="n">
        <v>17</v>
      </c>
      <c r="C71" s="1" t="inlineStr">
        <is>
          <t>3. Сантехника</t>
        </is>
      </c>
      <c r="D71" s="1" t="inlineStr">
        <is>
          <t>Ограждение душевого подиума</t>
        </is>
      </c>
      <c r="E71" s="1" t="inlineStr">
        <is>
          <t>шт</t>
        </is>
      </c>
      <c r="F71" s="1" t="inlineStr">
        <is>
          <t>СРЕД</t>
        </is>
      </c>
      <c r="G71" s="1" t="inlineStr">
        <is>
          <t>Стекло 8 мм закалённое Walk-In на заказ</t>
        </is>
      </c>
      <c r="H71" s="43" t="n"/>
      <c r="I71" s="43" t="n">
        <v>30000</v>
      </c>
      <c r="J71" s="44" t="n"/>
      <c r="K71" s="1" t="inlineStr">
        <is>
          <t>АРТ-ЛАЙН (Саратов)</t>
        </is>
      </c>
      <c r="L71" s="1" t="inlineStr">
        <is>
          <t>Саратов</t>
        </is>
      </c>
      <c r="M71" s="45" t="inlineStr">
        <is>
          <t>https://art-line.ru/dushevyie-peregorodki.html</t>
        </is>
      </c>
      <c r="N71" s="1" t="inlineStr">
        <is>
          <t>страница</t>
        </is>
      </c>
      <c r="O71" s="1" t="inlineStr">
        <is>
          <t>2026-09-11</t>
        </is>
      </c>
      <c r="P71" s="47" t="inlineStr">
        <is>
          <t>уточнить</t>
        </is>
      </c>
      <c r="Q71" s="1" t="inlineStr">
        <is>
          <t>На сайте цен нет — расчёт по звонку 8 (905) 38-39-555; монтаж отдельно по Профи.ру Саратов 1 540–8 620 ₽ (сниппет)</t>
        </is>
      </c>
    </row>
    <row r="72">
      <c r="A72" s="1" t="inlineStr">
        <is>
          <t>1_Ремонт</t>
        </is>
      </c>
      <c r="B72" s="1" t="n">
        <v>17</v>
      </c>
      <c r="C72" s="1" t="inlineStr">
        <is>
          <t>3. Сантехника</t>
        </is>
      </c>
      <c r="D72" s="1" t="inlineStr">
        <is>
          <t>Ограждение душевого подиума</t>
        </is>
      </c>
      <c r="E72" s="1" t="inlineStr">
        <is>
          <t>шт</t>
        </is>
      </c>
      <c r="F72" s="1" t="inlineStr">
        <is>
          <t>МАКС</t>
        </is>
      </c>
      <c r="G72" s="1" t="inlineStr">
        <is>
          <t>Стекло 10 мм + распашная дверь, чёрная/латунная фурнитура</t>
        </is>
      </c>
      <c r="H72" s="43" t="n"/>
      <c r="I72" s="43" t="n">
        <v>60000</v>
      </c>
      <c r="J72" s="44" t="n"/>
      <c r="K72" s="1" t="inlineStr">
        <is>
          <t>АРТ-ЛАЙН (Саратов)</t>
        </is>
      </c>
      <c r="L72" s="1" t="inlineStr">
        <is>
          <t>Саратов</t>
        </is>
      </c>
      <c r="M72" s="45" t="inlineStr">
        <is>
          <t>https://art-line.ru/dushevyie-peregorodki.html</t>
        </is>
      </c>
      <c r="N72" s="1" t="inlineStr">
        <is>
          <t>страница</t>
        </is>
      </c>
      <c r="O72" s="1" t="inlineStr">
        <is>
          <t>2026-09-11</t>
        </is>
      </c>
      <c r="P72" s="47" t="inlineStr">
        <is>
          <t>уточнить</t>
        </is>
      </c>
      <c r="Q72" s="1" t="inlineStr">
        <is>
          <t>Цен нет, по запросу; готовые перегородки santehnica.ru 13 931–25 500 ₽ (сниппет, без установки)</t>
        </is>
      </c>
    </row>
    <row r="73">
      <c r="A73" s="1" t="inlineStr">
        <is>
          <t>1_Ремонт</t>
        </is>
      </c>
      <c r="B73" s="1" t="n">
        <v>17</v>
      </c>
      <c r="C73" s="1" t="inlineStr">
        <is>
          <t>3. Сантехника</t>
        </is>
      </c>
      <c r="D73" s="1" t="inlineStr">
        <is>
          <t>Ограждение душевого подиума</t>
        </is>
      </c>
      <c r="E73" s="1" t="inlineStr">
        <is>
          <t>шт</t>
        </is>
      </c>
      <c r="F73" s="1" t="inlineStr">
        <is>
          <t>ВСЕ</t>
        </is>
      </c>
      <c r="G73" s="1" t="inlineStr">
        <is>
          <t>Авито Саратов — поиск «Ограждение душевого подиума» (новые товары магазинов и объявления)</t>
        </is>
      </c>
      <c r="H73" s="43" t="n"/>
      <c r="I73" s="43" t="n"/>
      <c r="J73" s="44" t="n"/>
      <c r="K73" s="1" t="inlineStr">
        <is>
          <t>Авито Саратов</t>
        </is>
      </c>
      <c r="L73" s="1" t="inlineStr">
        <is>
          <t>Саратов</t>
        </is>
      </c>
      <c r="M73" s="45" t="inlineStr">
        <is>
          <t>https://www.avito.ru/saratov?q=%D0%9E%D0%B3%D1%80%D0%B0%D0%B6%D0%B4%D0%B5%D0%BD%D0%B8%D0%B5%20%D0%B4%D1%83%D1%88%D0%B5%D0%B2%D0%BE%D0%B3%D0%BE%20%D0%BF%D0%BE%D0%B4%D0%B8%D1%83%D0%BC%D0%B0</t>
        </is>
      </c>
      <c r="N73" s="1" t="inlineStr">
        <is>
          <t>не проверено</t>
        </is>
      </c>
      <c r="O73" s="1" t="inlineStr">
        <is>
          <t>2026-09-11</t>
        </is>
      </c>
      <c r="P73" s="47" t="inlineStr">
        <is>
          <t>уточнить</t>
        </is>
      </c>
      <c r="Q7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74">
      <c r="A74" s="1" t="inlineStr">
        <is>
          <t>1_Ремонт</t>
        </is>
      </c>
      <c r="B74" s="1" t="n">
        <v>18</v>
      </c>
      <c r="C74" s="1" t="inlineStr">
        <is>
          <t>3. Сантехника</t>
        </is>
      </c>
      <c r="D74" s="1" t="inlineStr">
        <is>
          <t>Гигиенический душ</t>
        </is>
      </c>
      <c r="E74" s="1" t="inlineStr">
        <is>
          <t>компл</t>
        </is>
      </c>
      <c r="F74" s="1" t="inlineStr">
        <is>
          <t>МИН</t>
        </is>
      </c>
      <c r="G74" s="1" t="inlineStr">
        <is>
          <t>Shevanik S9905T-1 со смесителем</t>
        </is>
      </c>
      <c r="H74" s="43" t="n">
        <v>6492</v>
      </c>
      <c r="I74" s="43" t="n">
        <v>2500</v>
      </c>
      <c r="J74" s="48" t="n">
        <v>159.7</v>
      </c>
      <c r="K74" s="1" t="inlineStr">
        <is>
          <t>Лемана ПРО (Москва-сайт)</t>
        </is>
      </c>
      <c r="L74" s="1" t="inlineStr">
        <is>
          <t>доставка в Саратов</t>
        </is>
      </c>
      <c r="M74" s="45" t="inlineStr">
        <is>
          <t>https://lemanapro.ru/product/gigienicheskiy-dush-so-smesitelem-shevanik-s9905t-1-91477406/</t>
        </is>
      </c>
      <c r="N74" s="1" t="inlineStr">
        <is>
          <t>сниппет</t>
        </is>
      </c>
      <c r="O74" s="1" t="inlineStr">
        <is>
          <t>2026-09-11</t>
        </is>
      </c>
      <c r="P74" s="46" t="inlineStr">
        <is>
          <t>ок</t>
        </is>
      </c>
      <c r="Q74" s="1" t="inlineStr">
        <is>
          <t>Категория Лемана «смесители с гиг. душем от 2 346 ₽» — модель за ~2 500 не подтверждена; Саратов 401</t>
        </is>
      </c>
    </row>
    <row r="75">
      <c r="A75" s="1" t="inlineStr">
        <is>
          <t>1_Ремонт</t>
        </is>
      </c>
      <c r="B75" s="1" t="n">
        <v>18</v>
      </c>
      <c r="C75" s="1" t="inlineStr">
        <is>
          <t>3. Сантехника</t>
        </is>
      </c>
      <c r="D75" s="1" t="inlineStr">
        <is>
          <t>Гигиенический душ</t>
        </is>
      </c>
      <c r="E75" s="1" t="inlineStr">
        <is>
          <t>компл</t>
        </is>
      </c>
      <c r="F75" s="1" t="inlineStr">
        <is>
          <t>СРЕД</t>
        </is>
      </c>
      <c r="G75" s="1" t="inlineStr">
        <is>
          <t>Lemark Pramen LM3318C со смесителем</t>
        </is>
      </c>
      <c r="H75" s="43" t="n">
        <v>7436</v>
      </c>
      <c r="I75" s="43" t="n">
        <v>7000</v>
      </c>
      <c r="J75" s="44" t="n">
        <v>6.2</v>
      </c>
      <c r="K75" s="1" t="inlineStr">
        <is>
          <t>Сантехника.ру Саратов</t>
        </is>
      </c>
      <c r="L75" s="1" t="inlineStr">
        <is>
          <t>Саратов</t>
        </is>
      </c>
      <c r="M75" s="45" t="inlineStr">
        <is>
          <t>https://saratov.santehnica.ru/product/88648.html</t>
        </is>
      </c>
      <c r="N75" s="1" t="inlineStr">
        <is>
          <t>страница</t>
        </is>
      </c>
      <c r="O75" s="1" t="inlineStr">
        <is>
          <t>2026-09-11</t>
        </is>
      </c>
      <c r="P75" s="46" t="inlineStr">
        <is>
          <t>ок</t>
        </is>
      </c>
      <c r="Q75" s="1" t="inlineStr">
        <is>
          <t>Iddis 003SBR0i08 — 8 990 ₽; Lemark Solo LM7165C — 9 874 ₽</t>
        </is>
      </c>
    </row>
    <row r="76">
      <c r="A76" s="1" t="inlineStr">
        <is>
          <t>1_Ремонт</t>
        </is>
      </c>
      <c r="B76" s="1" t="n">
        <v>18</v>
      </c>
      <c r="C76" s="1" t="inlineStr">
        <is>
          <t>3. Сантехника</t>
        </is>
      </c>
      <c r="D76" s="1" t="inlineStr">
        <is>
          <t>Гигиенический душ</t>
        </is>
      </c>
      <c r="E76" s="1" t="inlineStr">
        <is>
          <t>компл</t>
        </is>
      </c>
      <c r="F76" s="1" t="inlineStr">
        <is>
          <t>МАКС</t>
        </is>
      </c>
      <c r="G76" s="1" t="inlineStr">
        <is>
          <t>Hansgrohe Bidette S 1jet 29232000</t>
        </is>
      </c>
      <c r="H76" s="43" t="n">
        <v>15852</v>
      </c>
      <c r="I76" s="43" t="n">
        <v>15000</v>
      </c>
      <c r="J76" s="44" t="n">
        <v>5.7</v>
      </c>
      <c r="K76" s="1" t="inlineStr">
        <is>
          <t>Сантехника.ру Саратов</t>
        </is>
      </c>
      <c r="L76" s="1" t="inlineStr">
        <is>
          <t>Саратов</t>
        </is>
      </c>
      <c r="M76" s="45" t="inlineStr">
        <is>
          <t>https://saratov.santehnica.ru/product/462683.html</t>
        </is>
      </c>
      <c r="N76" s="1" t="inlineStr">
        <is>
          <t>страница</t>
        </is>
      </c>
      <c r="O76" s="1" t="inlineStr">
        <is>
          <t>2026-09-11</t>
        </is>
      </c>
      <c r="P76" s="46" t="inlineStr">
        <is>
          <t>ок</t>
        </is>
      </c>
      <c r="Q76" s="1" t="inlineStr"/>
    </row>
    <row r="77">
      <c r="A77" s="1" t="inlineStr">
        <is>
          <t>1_Ремонт</t>
        </is>
      </c>
      <c r="B77" s="1" t="n">
        <v>18</v>
      </c>
      <c r="C77" s="1" t="inlineStr">
        <is>
          <t>3. Сантехника</t>
        </is>
      </c>
      <c r="D77" s="1" t="inlineStr">
        <is>
          <t>Гигиенический душ</t>
        </is>
      </c>
      <c r="E77" s="1" t="inlineStr">
        <is>
          <t>компл</t>
        </is>
      </c>
      <c r="F77" s="1" t="inlineStr">
        <is>
          <t>ВСЕ</t>
        </is>
      </c>
      <c r="G77" s="1" t="inlineStr">
        <is>
          <t>Авито Саратов — поиск «Гигиенический душ» (новые товары магазинов и объявления)</t>
        </is>
      </c>
      <c r="H77" s="43" t="n"/>
      <c r="I77" s="43" t="n"/>
      <c r="J77" s="44" t="n"/>
      <c r="K77" s="1" t="inlineStr">
        <is>
          <t>Авито Саратов</t>
        </is>
      </c>
      <c r="L77" s="1" t="inlineStr">
        <is>
          <t>Саратов</t>
        </is>
      </c>
      <c r="M77" s="45" t="inlineStr">
        <is>
          <t>https://www.avito.ru/saratov?q=%D0%93%D0%B8%D0%B3%D0%B8%D0%B5%D0%BD%D0%B8%D1%87%D0%B5%D1%81%D0%BA%D0%B8%D0%B9%20%D0%B4%D1%83%D1%88</t>
        </is>
      </c>
      <c r="N77" s="1" t="inlineStr">
        <is>
          <t>не проверено</t>
        </is>
      </c>
      <c r="O77" s="1" t="inlineStr">
        <is>
          <t>2026-09-11</t>
        </is>
      </c>
      <c r="P77" s="47" t="inlineStr">
        <is>
          <t>уточнить</t>
        </is>
      </c>
      <c r="Q7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78">
      <c r="A78" s="1" t="inlineStr">
        <is>
          <t>1_Ремонт</t>
        </is>
      </c>
      <c r="B78" s="1" t="n">
        <v>19</v>
      </c>
      <c r="C78" s="1" t="inlineStr">
        <is>
          <t>3. Сантехника</t>
        </is>
      </c>
      <c r="D78" s="1" t="inlineStr">
        <is>
          <t>Полотенцесушитель электрический</t>
        </is>
      </c>
      <c r="E78" s="1" t="inlineStr">
        <is>
          <t>шт</t>
        </is>
      </c>
      <c r="F78" s="1" t="inlineStr">
        <is>
          <t>МИН</t>
        </is>
      </c>
      <c r="G78" s="1" t="inlineStr">
        <is>
          <t>Terminus M-образный 400×500 электрический</t>
        </is>
      </c>
      <c r="H78" s="43" t="n">
        <v>3440</v>
      </c>
      <c r="I78" s="43" t="n">
        <v>4000</v>
      </c>
      <c r="J78" s="44" t="n">
        <v>-14</v>
      </c>
      <c r="K78" s="1" t="inlineStr">
        <is>
          <t>Сантехника.ру Саратов</t>
        </is>
      </c>
      <c r="L78" s="1" t="inlineStr">
        <is>
          <t>Саратов</t>
        </is>
      </c>
      <c r="M78" s="45" t="inlineStr">
        <is>
          <t>https://saratov.santehnica.ru/product/101158.html</t>
        </is>
      </c>
      <c r="N78" s="1" t="inlineStr">
        <is>
          <t>страница</t>
        </is>
      </c>
      <c r="O78" s="1" t="inlineStr">
        <is>
          <t>2026-09-11</t>
        </is>
      </c>
      <c r="P78" s="46" t="inlineStr">
        <is>
          <t>ок</t>
        </is>
      </c>
      <c r="Q78" s="1" t="inlineStr">
        <is>
          <t>Domoterm DMT 103-25 — 6 900 ₽</t>
        </is>
      </c>
    </row>
    <row r="79">
      <c r="A79" s="1" t="inlineStr">
        <is>
          <t>1_Ремонт</t>
        </is>
      </c>
      <c r="B79" s="1" t="n">
        <v>19</v>
      </c>
      <c r="C79" s="1" t="inlineStr">
        <is>
          <t>3. Сантехника</t>
        </is>
      </c>
      <c r="D79" s="1" t="inlineStr">
        <is>
          <t>Полотенцесушитель электрический</t>
        </is>
      </c>
      <c r="E79" s="1" t="inlineStr">
        <is>
          <t>шт</t>
        </is>
      </c>
      <c r="F79" s="1" t="inlineStr">
        <is>
          <t>СРЕД</t>
        </is>
      </c>
      <c r="G79" s="1" t="inlineStr">
        <is>
          <t>Indigo Arc с полкой Electro 40×60</t>
        </is>
      </c>
      <c r="H79" s="43" t="n">
        <v>11438</v>
      </c>
      <c r="I79" s="43" t="n">
        <v>12000</v>
      </c>
      <c r="J79" s="44" t="n">
        <v>-4.7</v>
      </c>
      <c r="K79" s="1" t="inlineStr">
        <is>
          <t>Сантехника.ру Саратов</t>
        </is>
      </c>
      <c r="L79" s="1" t="inlineStr">
        <is>
          <t>Саратов</t>
        </is>
      </c>
      <c r="M79" s="45" t="inlineStr">
        <is>
          <t>https://saratov.santehnica.ru/product/262819.html</t>
        </is>
      </c>
      <c r="N79" s="1" t="inlineStr">
        <is>
          <t>страница</t>
        </is>
      </c>
      <c r="O79" s="1" t="inlineStr">
        <is>
          <t>2026-09-11</t>
        </is>
      </c>
      <c r="P79" s="46" t="inlineStr">
        <is>
          <t>ок</t>
        </is>
      </c>
      <c r="Q79" s="1" t="inlineStr">
        <is>
          <t>Indigo Arc Electro 40×60 без полки — 9 158 ₽; Terminus Аврора П8 400×850 — 13 820 ₽</t>
        </is>
      </c>
    </row>
    <row r="80">
      <c r="A80" s="1" t="inlineStr">
        <is>
          <t>1_Ремонт</t>
        </is>
      </c>
      <c r="B80" s="1" t="n">
        <v>19</v>
      </c>
      <c r="C80" s="1" t="inlineStr">
        <is>
          <t>3. Сантехника</t>
        </is>
      </c>
      <c r="D80" s="1" t="inlineStr">
        <is>
          <t>Полотенцесушитель электрический</t>
        </is>
      </c>
      <c r="E80" s="1" t="inlineStr">
        <is>
          <t>шт</t>
        </is>
      </c>
      <c r="F80" s="1" t="inlineStr">
        <is>
          <t>МАКС</t>
        </is>
      </c>
      <c r="G80" s="1" t="inlineStr">
        <is>
          <t>Ника Step-1 50×80</t>
        </is>
      </c>
      <c r="H80" s="43" t="n">
        <v>19070</v>
      </c>
      <c r="I80" s="43" t="n">
        <v>25000</v>
      </c>
      <c r="J80" s="44" t="n">
        <v>-23.7</v>
      </c>
      <c r="K80" s="1" t="inlineStr">
        <is>
          <t>Сантехника.ру Саратов</t>
        </is>
      </c>
      <c r="L80" s="1" t="inlineStr">
        <is>
          <t>Саратов</t>
        </is>
      </c>
      <c r="M80" s="45" t="inlineStr">
        <is>
          <t>https://saratov.santehnica.ru/product/815401.html</t>
        </is>
      </c>
      <c r="N80" s="1" t="inlineStr">
        <is>
          <t>страница</t>
        </is>
      </c>
      <c r="O80" s="1" t="inlineStr">
        <is>
          <t>2026-09-11</t>
        </is>
      </c>
      <c r="P80" s="46" t="inlineStr">
        <is>
          <t>ок</t>
        </is>
      </c>
      <c r="Q80" s="1" t="inlineStr">
        <is>
          <t>Сунержа Нюанс 3.0 1800 — 32 200 ₽; Маргроид Инаро 12×120 — 17 208 ₽</t>
        </is>
      </c>
    </row>
    <row r="81">
      <c r="A81" s="1" t="inlineStr">
        <is>
          <t>1_Ремонт</t>
        </is>
      </c>
      <c r="B81" s="1" t="n">
        <v>19</v>
      </c>
      <c r="C81" s="1" t="inlineStr">
        <is>
          <t>3. Сантехника</t>
        </is>
      </c>
      <c r="D81" s="1" t="inlineStr">
        <is>
          <t>Полотенцесушитель электрический</t>
        </is>
      </c>
      <c r="E81" s="1" t="inlineStr">
        <is>
          <t>шт</t>
        </is>
      </c>
      <c r="F81" s="1" t="inlineStr">
        <is>
          <t>ВСЕ</t>
        </is>
      </c>
      <c r="G81" s="1" t="inlineStr">
        <is>
          <t>Авито Саратов — поиск «Полотенцесушитель электрический» (новые товары магазинов и объявления)</t>
        </is>
      </c>
      <c r="H81" s="43" t="n"/>
      <c r="I81" s="43" t="n"/>
      <c r="J81" s="44" t="n"/>
      <c r="K81" s="1" t="inlineStr">
        <is>
          <t>Авито Саратов</t>
        </is>
      </c>
      <c r="L81" s="1" t="inlineStr">
        <is>
          <t>Саратов</t>
        </is>
      </c>
      <c r="M81" s="45" t="inlineStr">
        <is>
          <t>https://www.avito.ru/saratov?q=%D0%9F%D0%BE%D0%BB%D0%BE%D1%82%D0%B5%D0%BD%D1%86%D0%B5%D1%81%D1%83%D1%88%D0%B8%D1%82%D0%B5%D0%BB%D1%8C%20%D1%8D%D0%BB%D0%B5%D0%BA%D1%82%D1%80%D0%B8%D1%87%D0%B5%D1%81%D0%BA%D0%B8%D0%B9</t>
        </is>
      </c>
      <c r="N81" s="1" t="inlineStr">
        <is>
          <t>не проверено</t>
        </is>
      </c>
      <c r="O81" s="1" t="inlineStr">
        <is>
          <t>2026-09-11</t>
        </is>
      </c>
      <c r="P81" s="47" t="inlineStr">
        <is>
          <t>уточнить</t>
        </is>
      </c>
      <c r="Q8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82">
      <c r="A82" s="1" t="inlineStr">
        <is>
          <t>1_Ремонт</t>
        </is>
      </c>
      <c r="B82" s="1" t="n">
        <v>20</v>
      </c>
      <c r="C82" s="1" t="inlineStr">
        <is>
          <t>3. Сантехника</t>
        </is>
      </c>
      <c r="D82" s="1" t="inlineStr">
        <is>
          <t>Зеркало / зеркальный шкаф</t>
        </is>
      </c>
      <c r="E82" s="1" t="inlineStr">
        <is>
          <t>шт</t>
        </is>
      </c>
      <c r="F82" s="1" t="inlineStr">
        <is>
          <t>МИН</t>
        </is>
      </c>
      <c r="G82" s="1" t="inlineStr">
        <is>
          <t>Aquanet Донна зеркальный шкаф 60 (без подсветки)</t>
        </is>
      </c>
      <c r="H82" s="43" t="n">
        <v>6699</v>
      </c>
      <c r="I82" s="43" t="n">
        <v>1500</v>
      </c>
      <c r="J82" s="48" t="n">
        <v>346.6</v>
      </c>
      <c r="K82" s="1" t="inlineStr">
        <is>
          <t>Сантехника.ру Саратов</t>
        </is>
      </c>
      <c r="L82" s="1" t="inlineStr">
        <is>
          <t>Саратов</t>
        </is>
      </c>
      <c r="M82" s="45" t="inlineStr">
        <is>
          <t>https://saratov.santehnica.ru/product/143402.html</t>
        </is>
      </c>
      <c r="N82" s="1" t="inlineStr">
        <is>
          <t>страница</t>
        </is>
      </c>
      <c r="O82" s="1" t="inlineStr">
        <is>
          <t>2026-09-11</t>
        </is>
      </c>
      <c r="P82" s="46" t="inlineStr">
        <is>
          <t>ок</t>
        </is>
      </c>
      <c r="Q82" s="1" t="inlineStr">
        <is>
          <t>Отклонение из-за класса товара: смета МИН = простое зеркало; зеркало 60 см без шкафа не проверено (Лемана категория «от 2 100 ₽», сниппет)</t>
        </is>
      </c>
    </row>
    <row r="83">
      <c r="A83" s="1" t="inlineStr">
        <is>
          <t>1_Ремонт</t>
        </is>
      </c>
      <c r="B83" s="1" t="n">
        <v>20</v>
      </c>
      <c r="C83" s="1" t="inlineStr">
        <is>
          <t>3. Сантехника</t>
        </is>
      </c>
      <c r="D83" s="1" t="inlineStr">
        <is>
          <t>Зеркало / зеркальный шкаф</t>
        </is>
      </c>
      <c r="E83" s="1" t="inlineStr">
        <is>
          <t>шт</t>
        </is>
      </c>
      <c r="F83" s="1" t="inlineStr">
        <is>
          <t>СРЕД</t>
        </is>
      </c>
      <c r="G83" s="1" t="inlineStr">
        <is>
          <t>Stella Polar Концепт Лаура 60/C с подсветкой</t>
        </is>
      </c>
      <c r="H83" s="43" t="n">
        <v>7528</v>
      </c>
      <c r="I83" s="43" t="n">
        <v>6000</v>
      </c>
      <c r="J83" s="44" t="n">
        <v>25.5</v>
      </c>
      <c r="K83" s="1" t="inlineStr">
        <is>
          <t>Сантехника.ру Саратов</t>
        </is>
      </c>
      <c r="L83" s="1" t="inlineStr">
        <is>
          <t>Саратов</t>
        </is>
      </c>
      <c r="M83" s="45" t="inlineStr">
        <is>
          <t>https://saratov.santehnica.ru/product/233414.html</t>
        </is>
      </c>
      <c r="N83" s="1" t="inlineStr">
        <is>
          <t>страница</t>
        </is>
      </c>
      <c r="O83" s="1" t="inlineStr">
        <is>
          <t>2026-09-11</t>
        </is>
      </c>
      <c r="P83" s="46" t="inlineStr">
        <is>
          <t>ок</t>
        </is>
      </c>
      <c r="Q83" s="1" t="inlineStr">
        <is>
          <t>Style Line Амарант — 8 210 ₽</t>
        </is>
      </c>
    </row>
    <row r="84">
      <c r="A84" s="1" t="inlineStr">
        <is>
          <t>1_Ремонт</t>
        </is>
      </c>
      <c r="B84" s="1" t="n">
        <v>20</v>
      </c>
      <c r="C84" s="1" t="inlineStr">
        <is>
          <t>3. Сантехника</t>
        </is>
      </c>
      <c r="D84" s="1" t="inlineStr">
        <is>
          <t>Зеркало / зеркальный шкаф</t>
        </is>
      </c>
      <c r="E84" s="1" t="inlineStr">
        <is>
          <t>шт</t>
        </is>
      </c>
      <c r="F84" s="1" t="inlineStr">
        <is>
          <t>МАКС</t>
        </is>
      </c>
      <c r="G84" s="1" t="inlineStr">
        <is>
          <t>Style Line El Fante Каре 60</t>
        </is>
      </c>
      <c r="H84" s="43" t="n">
        <v>12024</v>
      </c>
      <c r="I84" s="43" t="n">
        <v>15000</v>
      </c>
      <c r="J84" s="44" t="n">
        <v>-19.8</v>
      </c>
      <c r="K84" s="1" t="inlineStr">
        <is>
          <t>Сантехника.ру Саратов</t>
        </is>
      </c>
      <c r="L84" s="1" t="inlineStr">
        <is>
          <t>Саратов</t>
        </is>
      </c>
      <c r="M84" s="45" t="inlineStr">
        <is>
          <t>https://saratov.santehnica.ru/product/248752.html</t>
        </is>
      </c>
      <c r="N84" s="1" t="inlineStr">
        <is>
          <t>страница</t>
        </is>
      </c>
      <c r="O84" s="1" t="inlineStr">
        <is>
          <t>2026-09-11</t>
        </is>
      </c>
      <c r="P84" s="46" t="inlineStr">
        <is>
          <t>ок</t>
        </is>
      </c>
      <c r="Q84" s="1" t="inlineStr">
        <is>
          <t>BelBagno Marino — 18 800 ₽; Vigo Geometry Comfort 60 — 13 500 ₽ (сниппет)</t>
        </is>
      </c>
    </row>
    <row r="85">
      <c r="A85" s="1" t="inlineStr">
        <is>
          <t>1_Ремонт</t>
        </is>
      </c>
      <c r="B85" s="1" t="n">
        <v>20</v>
      </c>
      <c r="C85" s="1" t="inlineStr">
        <is>
          <t>3. Сантехника</t>
        </is>
      </c>
      <c r="D85" s="1" t="inlineStr">
        <is>
          <t>Зеркало / зеркальный шкаф</t>
        </is>
      </c>
      <c r="E85" s="1" t="inlineStr">
        <is>
          <t>шт</t>
        </is>
      </c>
      <c r="F85" s="1" t="inlineStr">
        <is>
          <t>ВСЕ</t>
        </is>
      </c>
      <c r="G85" s="1" t="inlineStr">
        <is>
          <t>Авито Саратов — поиск «Зеркало / зеркальный шкаф» (новые товары магазинов и объявления)</t>
        </is>
      </c>
      <c r="H85" s="43" t="n"/>
      <c r="I85" s="43" t="n"/>
      <c r="J85" s="44" t="n"/>
      <c r="K85" s="1" t="inlineStr">
        <is>
          <t>Авито Саратов</t>
        </is>
      </c>
      <c r="L85" s="1" t="inlineStr">
        <is>
          <t>Саратов</t>
        </is>
      </c>
      <c r="M85" s="45" t="inlineStr">
        <is>
          <t>https://www.avito.ru/saratov?q=%D0%97%D0%B5%D1%80%D0%BA%D0%B0%D0%BB%D0%BE%20/%20%D0%B7%D0%B5%D1%80%D0%BA%D0%B0%D0%BB%D1%8C%D0%BD%D1%8B%D0%B9%20%D1%88%D0%BA%D0%B0%D1%84</t>
        </is>
      </c>
      <c r="N85" s="1" t="inlineStr">
        <is>
          <t>не проверено</t>
        </is>
      </c>
      <c r="O85" s="1" t="inlineStr">
        <is>
          <t>2026-09-11</t>
        </is>
      </c>
      <c r="P85" s="47" t="inlineStr">
        <is>
          <t>уточнить</t>
        </is>
      </c>
      <c r="Q8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86">
      <c r="A86" s="1" t="inlineStr">
        <is>
          <t>1_Ремонт</t>
        </is>
      </c>
      <c r="B86" s="1" t="n">
        <v>21</v>
      </c>
      <c r="C86" s="1" t="inlineStr">
        <is>
          <t>3. Сантехника</t>
        </is>
      </c>
      <c r="D86" s="1" t="inlineStr">
        <is>
          <t>Вентилятор вытяжной</t>
        </is>
      </c>
      <c r="E86" s="1" t="inlineStr">
        <is>
          <t>шт</t>
        </is>
      </c>
      <c r="F86" s="1" t="inlineStr">
        <is>
          <t>МИН</t>
        </is>
      </c>
      <c r="G86" s="1" t="inlineStr">
        <is>
          <t>Осевой 100 мм (Эра/Вентс)</t>
        </is>
      </c>
      <c r="H86" s="43" t="n"/>
      <c r="I86" s="43" t="n">
        <v>800</v>
      </c>
      <c r="J86" s="44" t="n"/>
      <c r="K86" s="1" t="inlineStr">
        <is>
          <t>Лемана ПРО Саратов</t>
        </is>
      </c>
      <c r="L86" s="1" t="inlineStr">
        <is>
          <t>Саратов</t>
        </is>
      </c>
      <c r="M86" s="45" t="inlineStr">
        <is>
          <t>https://saratov.lemanapro.ru/catalogue/ventilyatory-vytyazhnye/100/</t>
        </is>
      </c>
      <c r="N86" s="1" t="inlineStr">
        <is>
          <t>сниппет</t>
        </is>
      </c>
      <c r="O86" s="1" t="inlineStr">
        <is>
          <t>2026-09-11</t>
        </is>
      </c>
      <c r="P86" s="47" t="inlineStr">
        <is>
          <t>уточнить</t>
        </is>
      </c>
      <c r="Q86" s="1" t="inlineStr">
        <is>
          <t>Категория «100 мм от 655 ₽» (сниппет, Хабаровск); модель не подтверждена</t>
        </is>
      </c>
    </row>
    <row r="87">
      <c r="A87" s="1" t="inlineStr">
        <is>
          <t>1_Ремонт</t>
        </is>
      </c>
      <c r="B87" s="1" t="n">
        <v>21</v>
      </c>
      <c r="C87" s="1" t="inlineStr">
        <is>
          <t>3. Сантехника</t>
        </is>
      </c>
      <c r="D87" s="1" t="inlineStr">
        <is>
          <t>Вентилятор вытяжной</t>
        </is>
      </c>
      <c r="E87" s="1" t="inlineStr">
        <is>
          <t>шт</t>
        </is>
      </c>
      <c r="F87" s="1" t="inlineStr">
        <is>
          <t>СРЕД</t>
        </is>
      </c>
      <c r="G87" s="1" t="inlineStr">
        <is>
          <t>Electrolux Rainbow EAFR-100 (обратный клапан)</t>
        </is>
      </c>
      <c r="H87" s="43" t="n">
        <v>2830</v>
      </c>
      <c r="I87" s="43" t="n">
        <v>3000</v>
      </c>
      <c r="J87" s="44" t="n">
        <v>-5.7</v>
      </c>
      <c r="K87" s="1" t="inlineStr">
        <is>
          <t>E-Katalog (агрегатор)</t>
        </is>
      </c>
      <c r="L87" s="1" t="inlineStr">
        <is>
          <t>доставка в Саратов</t>
        </is>
      </c>
      <c r="M87" s="45" t="inlineStr">
        <is>
          <t>https://www.e-katalog.ru/ELECTROLUX-RAINBOW-EAFR-100.htm</t>
        </is>
      </c>
      <c r="N87" s="1" t="inlineStr">
        <is>
          <t>сниппет</t>
        </is>
      </c>
      <c r="O87" s="1" t="inlineStr">
        <is>
          <t>2026-09-11</t>
        </is>
      </c>
      <c r="P87" s="46" t="inlineStr">
        <is>
          <t>ок</t>
        </is>
      </c>
      <c r="Q87" s="1" t="inlineStr">
        <is>
          <t>Диапазон 2 830–3 699 ₽; есть в Лемана ПРО, цена не получена</t>
        </is>
      </c>
    </row>
    <row r="88">
      <c r="A88" s="1" t="inlineStr">
        <is>
          <t>1_Ремонт</t>
        </is>
      </c>
      <c r="B88" s="1" t="n">
        <v>21</v>
      </c>
      <c r="C88" s="1" t="inlineStr">
        <is>
          <t>3. Сантехника</t>
        </is>
      </c>
      <c r="D88" s="1" t="inlineStr">
        <is>
          <t>Вентилятор вытяжной</t>
        </is>
      </c>
      <c r="E88" s="1" t="inlineStr">
        <is>
          <t>шт</t>
        </is>
      </c>
      <c r="F88" s="1" t="inlineStr">
        <is>
          <t>МАКС</t>
        </is>
      </c>
      <c r="G88" s="1" t="inlineStr">
        <is>
          <t>Soler&amp;Palau Silent-100 CRZ с таймером</t>
        </is>
      </c>
      <c r="H88" s="43" t="n">
        <v>4316</v>
      </c>
      <c r="I88" s="43" t="n">
        <v>7000</v>
      </c>
      <c r="J88" s="48" t="n">
        <v>-38.3</v>
      </c>
      <c r="K88" s="1" t="inlineStr">
        <is>
          <t>Vivaset</t>
        </is>
      </c>
      <c r="L88" s="1" t="inlineStr">
        <is>
          <t>доставка в Саратов</t>
        </is>
      </c>
      <c r="M88" s="45" t="inlineStr">
        <is>
          <t>https://vivaset.ru/products/solerpalau-silent-100-crz.html</t>
        </is>
      </c>
      <c r="N88" s="1" t="inlineStr">
        <is>
          <t>сниппет</t>
        </is>
      </c>
      <c r="O88" s="1" t="inlineStr">
        <is>
          <t>2026-09-11</t>
        </is>
      </c>
      <c r="P88" s="46" t="inlineStr">
        <is>
          <t>ок</t>
        </is>
      </c>
      <c r="Q88" s="1" t="inlineStr">
        <is>
          <t>Диапазон по магазинам 4 316–6 480 ₽</t>
        </is>
      </c>
    </row>
    <row r="89">
      <c r="A89" s="1" t="inlineStr">
        <is>
          <t>1_Ремонт</t>
        </is>
      </c>
      <c r="B89" s="1" t="n">
        <v>21</v>
      </c>
      <c r="C89" s="1" t="inlineStr">
        <is>
          <t>3. Сантехника</t>
        </is>
      </c>
      <c r="D89" s="1" t="inlineStr">
        <is>
          <t>Вентилятор вытяжной</t>
        </is>
      </c>
      <c r="E89" s="1" t="inlineStr">
        <is>
          <t>шт</t>
        </is>
      </c>
      <c r="F89" s="1" t="inlineStr">
        <is>
          <t>ВСЕ</t>
        </is>
      </c>
      <c r="G89" s="1" t="inlineStr">
        <is>
          <t>Авито Саратов — поиск «Вентилятор вытяжной» (новые товары магазинов и объявления)</t>
        </is>
      </c>
      <c r="H89" s="43" t="n"/>
      <c r="I89" s="43" t="n"/>
      <c r="J89" s="44" t="n"/>
      <c r="K89" s="1" t="inlineStr">
        <is>
          <t>Авито Саратов</t>
        </is>
      </c>
      <c r="L89" s="1" t="inlineStr">
        <is>
          <t>Саратов</t>
        </is>
      </c>
      <c r="M89" s="45" t="inlineStr">
        <is>
          <t>https://www.avito.ru/saratov?q=%D0%92%D0%B5%D0%BD%D1%82%D0%B8%D0%BB%D1%8F%D1%82%D0%BE%D1%80%20%D0%B2%D1%8B%D1%82%D1%8F%D0%B6%D0%BD%D0%BE%D0%B9</t>
        </is>
      </c>
      <c r="N89" s="1" t="inlineStr">
        <is>
          <t>не проверено</t>
        </is>
      </c>
      <c r="O89" s="1" t="inlineStr">
        <is>
          <t>2026-09-11</t>
        </is>
      </c>
      <c r="P89" s="47" t="inlineStr">
        <is>
          <t>уточнить</t>
        </is>
      </c>
      <c r="Q8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90">
      <c r="A90" s="1" t="inlineStr">
        <is>
          <t>1_Ремонт</t>
        </is>
      </c>
      <c r="B90" s="1" t="n">
        <v>22</v>
      </c>
      <c r="C90" s="1" t="inlineStr">
        <is>
          <t>3. Сантехника</t>
        </is>
      </c>
      <c r="D90" s="1" t="inlineStr">
        <is>
          <t>Аксессуары (держатели, ёршик, крючки, дозатор)</t>
        </is>
      </c>
      <c r="E90" s="1" t="inlineStr">
        <is>
          <t>компл</t>
        </is>
      </c>
      <c r="F90" s="1" t="inlineStr">
        <is>
          <t>МИН</t>
        </is>
      </c>
      <c r="G90" s="1" t="inlineStr">
        <is>
          <t>Набор Iddis (крючки/держатели/ёршик)</t>
        </is>
      </c>
      <c r="H90" s="43" t="n"/>
      <c r="I90" s="43" t="n">
        <v>2500</v>
      </c>
      <c r="J90" s="44" t="n"/>
      <c r="K90" s="1" t="inlineStr">
        <is>
          <t>Сантехника.ру Саратов</t>
        </is>
      </c>
      <c r="L90" s="1" t="inlineStr">
        <is>
          <t>Саратов</t>
        </is>
      </c>
      <c r="M90" s="45" t="inlineStr">
        <is>
          <t>https://saratov.santehnica.ru/brand/iddis/</t>
        </is>
      </c>
      <c r="N90" s="1" t="inlineStr">
        <is>
          <t>страница</t>
        </is>
      </c>
      <c r="O90" s="1" t="inlineStr">
        <is>
          <t>2026-09-11</t>
        </is>
      </c>
      <c r="P90" s="47" t="inlineStr">
        <is>
          <t>уточнить</t>
        </is>
      </c>
      <c r="Q90" s="1" t="inlineStr">
        <is>
          <t>Подтверждён только набор 4 крючка Iddis HOK4SC0i41 — 1 690 ₽; полный комплект не собран</t>
        </is>
      </c>
    </row>
    <row r="91">
      <c r="A91" s="1" t="inlineStr">
        <is>
          <t>1_Ремонт</t>
        </is>
      </c>
      <c r="B91" s="1" t="n">
        <v>22</v>
      </c>
      <c r="C91" s="1" t="inlineStr">
        <is>
          <t>3. Сантехника</t>
        </is>
      </c>
      <c r="D91" s="1" t="inlineStr">
        <is>
          <t>Аксессуары (держатели, ёршик, крючки, дозатор)</t>
        </is>
      </c>
      <c r="E91" s="1" t="inlineStr">
        <is>
          <t>компл</t>
        </is>
      </c>
      <c r="F91" s="1" t="inlineStr">
        <is>
          <t>СРЕД</t>
        </is>
      </c>
      <c r="G91" s="1" t="inlineStr">
        <is>
          <t>Grohe Essentials 40407001 набор аксессуаров</t>
        </is>
      </c>
      <c r="H91" s="43" t="n">
        <v>11530</v>
      </c>
      <c r="I91" s="43" t="n">
        <v>7000</v>
      </c>
      <c r="J91" s="48" t="n">
        <v>64.7</v>
      </c>
      <c r="K91" s="1" t="inlineStr">
        <is>
          <t>SantehMoll</t>
        </is>
      </c>
      <c r="L91" s="1" t="inlineStr">
        <is>
          <t>доставка в Саратов</t>
        </is>
      </c>
      <c r="M91" s="45" t="inlineStr">
        <is>
          <t>https://santehmoll.ru/product/basic_nabor_aksessuarov/</t>
        </is>
      </c>
      <c r="N91" s="1" t="inlineStr">
        <is>
          <t>сниппет</t>
        </is>
      </c>
      <c r="O91" s="1" t="inlineStr">
        <is>
          <t>2026-09-11</t>
        </is>
      </c>
      <c r="P91" s="46" t="inlineStr">
        <is>
          <t>ок</t>
        </is>
      </c>
      <c r="Q91" s="1" t="inlineStr"/>
    </row>
    <row r="92">
      <c r="A92" s="1" t="inlineStr">
        <is>
          <t>1_Ремонт</t>
        </is>
      </c>
      <c r="B92" s="1" t="n">
        <v>22</v>
      </c>
      <c r="C92" s="1" t="inlineStr">
        <is>
          <t>3. Сантехника</t>
        </is>
      </c>
      <c r="D92" s="1" t="inlineStr">
        <is>
          <t>Аксессуары (держатели, ёршик, крючки, дозатор)</t>
        </is>
      </c>
      <c r="E92" s="1" t="inlineStr">
        <is>
          <t>компл</t>
        </is>
      </c>
      <c r="F92" s="1" t="inlineStr">
        <is>
          <t>МАКС</t>
        </is>
      </c>
      <c r="G92" s="1" t="inlineStr">
        <is>
          <t>Grohe Essentials 40344DC1 суперсталь (5 предметов)</t>
        </is>
      </c>
      <c r="H92" s="43" t="n">
        <v>21672</v>
      </c>
      <c r="I92" s="43" t="n">
        <v>20000</v>
      </c>
      <c r="J92" s="44" t="n">
        <v>8.4</v>
      </c>
      <c r="K92" s="1" t="inlineStr">
        <is>
          <t>ТОП-Сантехника</t>
        </is>
      </c>
      <c r="L92" s="1" t="inlineStr">
        <is>
          <t>доставка в Саратов</t>
        </is>
      </c>
      <c r="M92" s="45" t="inlineStr">
        <is>
          <t>https://top-santehnika.ru/product/nabor-aksessuarov-dlya-vanny-grohe-essentials-40344dc1/</t>
        </is>
      </c>
      <c r="N92" s="1" t="inlineStr">
        <is>
          <t>сниппет</t>
        </is>
      </c>
      <c r="O92" s="1" t="inlineStr">
        <is>
          <t>2026-09-11</t>
        </is>
      </c>
      <c r="P92" s="46" t="inlineStr">
        <is>
          <t>ок</t>
        </is>
      </c>
      <c r="Q92" s="1" t="inlineStr"/>
    </row>
    <row r="93">
      <c r="A93" s="1" t="inlineStr">
        <is>
          <t>1_Ремонт</t>
        </is>
      </c>
      <c r="B93" s="1" t="n">
        <v>22</v>
      </c>
      <c r="C93" s="1" t="inlineStr">
        <is>
          <t>3. Сантехника</t>
        </is>
      </c>
      <c r="D93" s="1" t="inlineStr">
        <is>
          <t>Аксессуары (держатели, ёршик, крючки, дозатор)</t>
        </is>
      </c>
      <c r="E93" s="1" t="inlineStr">
        <is>
          <t>компл</t>
        </is>
      </c>
      <c r="F93" s="1" t="inlineStr">
        <is>
          <t>ВСЕ</t>
        </is>
      </c>
      <c r="G93" s="1" t="inlineStr">
        <is>
          <t>Авито Саратов — поиск «Аксессуары» (новые товары магазинов и объявления)</t>
        </is>
      </c>
      <c r="H93" s="43" t="n"/>
      <c r="I93" s="43" t="n"/>
      <c r="J93" s="44" t="n"/>
      <c r="K93" s="1" t="inlineStr">
        <is>
          <t>Авито Саратов</t>
        </is>
      </c>
      <c r="L93" s="1" t="inlineStr">
        <is>
          <t>Саратов</t>
        </is>
      </c>
      <c r="M93" s="45" t="inlineStr">
        <is>
          <t>https://www.avito.ru/saratov?q=%D0%90%D0%BA%D1%81%D0%B5%D1%81%D1%81%D1%83%D0%B0%D1%80%D1%8B</t>
        </is>
      </c>
      <c r="N93" s="1" t="inlineStr">
        <is>
          <t>не проверено</t>
        </is>
      </c>
      <c r="O93" s="1" t="inlineStr">
        <is>
          <t>2026-09-11</t>
        </is>
      </c>
      <c r="P93" s="47" t="inlineStr">
        <is>
          <t>уточнить</t>
        </is>
      </c>
      <c r="Q9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94">
      <c r="A94" s="1" t="inlineStr">
        <is>
          <t>1_Ремонт</t>
        </is>
      </c>
      <c r="B94" s="1" t="n">
        <v>23</v>
      </c>
      <c r="C94" s="1" t="inlineStr">
        <is>
          <t>3. Сантехника</t>
        </is>
      </c>
      <c r="D94" s="1" t="inlineStr">
        <is>
          <t>Люк ревизионный к колонке/стоякам</t>
        </is>
      </c>
      <c r="E94" s="1" t="inlineStr">
        <is>
          <t>шт</t>
        </is>
      </c>
      <c r="F94" s="1" t="inlineStr">
        <is>
          <t>МИН</t>
        </is>
      </c>
      <c r="G94" s="1" t="inlineStr">
        <is>
          <t>Пластиковый люк открытого типа 30×30</t>
        </is>
      </c>
      <c r="H94" s="43" t="n"/>
      <c r="I94" s="43" t="n">
        <v>2000</v>
      </c>
      <c r="J94" s="44" t="n"/>
      <c r="K94" s="1" t="inlineStr">
        <is>
          <t>Лемана ПРО Саратов</t>
        </is>
      </c>
      <c r="L94" s="1" t="inlineStr">
        <is>
          <t>Саратов</t>
        </is>
      </c>
      <c r="M94" s="45" t="inlineStr">
        <is>
          <t>https://saratov.lemanapro.ru/catalogue/revizionnye-lyuki-otkrytogo-tipa/plastikovye/</t>
        </is>
      </c>
      <c r="N94" s="1" t="inlineStr">
        <is>
          <t>сниппет</t>
        </is>
      </c>
      <c r="O94" s="1" t="inlineStr">
        <is>
          <t>2026-09-11</t>
        </is>
      </c>
      <c r="P94" s="47" t="inlineStr">
        <is>
          <t>уточнить</t>
        </is>
      </c>
      <c r="Q94" s="1" t="inlineStr">
        <is>
          <t>Категория «люки для ванной от 359 ₽» (сниппет); модель не подтверждена</t>
        </is>
      </c>
    </row>
    <row r="95">
      <c r="A95" s="1" t="inlineStr">
        <is>
          <t>1_Ремонт</t>
        </is>
      </c>
      <c r="B95" s="1" t="n">
        <v>23</v>
      </c>
      <c r="C95" s="1" t="inlineStr">
        <is>
          <t>3. Сантехника</t>
        </is>
      </c>
      <c r="D95" s="1" t="inlineStr">
        <is>
          <t>Люк ревизионный к колонке/стоякам</t>
        </is>
      </c>
      <c r="E95" s="1" t="inlineStr">
        <is>
          <t>шт</t>
        </is>
      </c>
      <c r="F95" s="1" t="inlineStr">
        <is>
          <t>СРЕД</t>
        </is>
      </c>
      <c r="G95" s="1" t="inlineStr">
        <is>
          <t>Хаммер под плитку 40×60 (распашной)</t>
        </is>
      </c>
      <c r="H95" s="43" t="n"/>
      <c r="I95" s="43" t="n">
        <v>5000</v>
      </c>
      <c r="J95" s="44" t="n"/>
      <c r="K95" s="1" t="inlineStr">
        <is>
          <t>ВсеИнструменты</t>
        </is>
      </c>
      <c r="L95" s="1" t="inlineStr">
        <is>
          <t>доставка в Саратов</t>
        </is>
      </c>
      <c r="M95" s="45" t="inlineStr">
        <is>
          <t>https://www.vseinstrumenti.ru/category/revizionnye-lyuki-171513/hammer-2068594/</t>
        </is>
      </c>
      <c r="N95" s="1" t="inlineStr">
        <is>
          <t>сниппет</t>
        </is>
      </c>
      <c r="O95" s="1" t="inlineStr">
        <is>
          <t>2026-09-11</t>
        </is>
      </c>
      <c r="P95" s="47" t="inlineStr">
        <is>
          <t>уточнить</t>
        </is>
      </c>
      <c r="Q95" s="1" t="inlineStr">
        <is>
          <t>Категория «Хаммер от 2 350 ₽» (сниппет); конкретный размер не подтверждён</t>
        </is>
      </c>
    </row>
    <row r="96">
      <c r="A96" s="1" t="inlineStr">
        <is>
          <t>1_Ремонт</t>
        </is>
      </c>
      <c r="B96" s="1" t="n">
        <v>23</v>
      </c>
      <c r="C96" s="1" t="inlineStr">
        <is>
          <t>3. Сантехника</t>
        </is>
      </c>
      <c r="D96" s="1" t="inlineStr">
        <is>
          <t>Люк ревизионный к колонке/стоякам</t>
        </is>
      </c>
      <c r="E96" s="1" t="inlineStr">
        <is>
          <t>шт</t>
        </is>
      </c>
      <c r="F96" s="1" t="inlineStr">
        <is>
          <t>МАКС</t>
        </is>
      </c>
      <c r="G96" s="1" t="inlineStr">
        <is>
          <t>Хаммер Слава нажимной скрытый алюминий 60×60</t>
        </is>
      </c>
      <c r="H96" s="43" t="n">
        <v>13999</v>
      </c>
      <c r="I96" s="43" t="n">
        <v>12000</v>
      </c>
      <c r="J96" s="44" t="n">
        <v>16.7</v>
      </c>
      <c r="K96" s="1" t="inlineStr">
        <is>
          <t>Лемана ПРО</t>
        </is>
      </c>
      <c r="L96" s="1" t="inlineStr">
        <is>
          <t>доставка в Саратов</t>
        </is>
      </c>
      <c r="M96" s="45" t="inlineStr">
        <is>
          <t>https://klin.lemanapro.ru/product/lyuk-revizionnyy-skrytyy-nazhimnoy-hammer-slava-alyuminiy-60x60sm-90162136/</t>
        </is>
      </c>
      <c r="N96" s="1" t="inlineStr">
        <is>
          <t>сниппет</t>
        </is>
      </c>
      <c r="O96" s="1" t="inlineStr">
        <is>
          <t>2026-09-11</t>
        </is>
      </c>
      <c r="P96" s="46" t="inlineStr">
        <is>
          <t>ок</t>
        </is>
      </c>
      <c r="Q96" s="1" t="inlineStr">
        <is>
          <t>Цена по сниппету региона Клин; Лючки.РФ Секрет 3.0 50×70 — 18 235 ₽ (Новокузнецк)</t>
        </is>
      </c>
    </row>
    <row r="97">
      <c r="A97" s="1" t="inlineStr">
        <is>
          <t>1_Ремонт</t>
        </is>
      </c>
      <c r="B97" s="1" t="n">
        <v>23</v>
      </c>
      <c r="C97" s="1" t="inlineStr">
        <is>
          <t>3. Сантехника</t>
        </is>
      </c>
      <c r="D97" s="1" t="inlineStr">
        <is>
          <t>Люк ревизионный к колонке/стоякам</t>
        </is>
      </c>
      <c r="E97" s="1" t="inlineStr">
        <is>
          <t>шт</t>
        </is>
      </c>
      <c r="F97" s="1" t="inlineStr">
        <is>
          <t>ВСЕ</t>
        </is>
      </c>
      <c r="G97" s="1" t="inlineStr">
        <is>
          <t>Авито Саратов — поиск «Люк ревизионный к колонке/стоякам» (новые товары магазинов и объявления)</t>
        </is>
      </c>
      <c r="H97" s="43" t="n"/>
      <c r="I97" s="43" t="n"/>
      <c r="J97" s="44" t="n"/>
      <c r="K97" s="1" t="inlineStr">
        <is>
          <t>Авито Саратов</t>
        </is>
      </c>
      <c r="L97" s="1" t="inlineStr">
        <is>
          <t>Саратов</t>
        </is>
      </c>
      <c r="M97" s="45" t="inlineStr">
        <is>
          <t>https://www.avito.ru/saratov?q=%D0%9B%D1%8E%D0%BA%20%D1%80%D0%B5%D0%B2%D0%B8%D0%B7%D0%B8%D0%BE%D0%BD%D0%BD%D1%8B%D0%B9%20%D0%BA%20%D0%BA%D0%BE%D0%BB%D0%BE%D0%BD%D0%BA%D0%B5/%D1%81%D1%82%D0%BE%D1%8F%D0%BA%D0%B0%D0%BC</t>
        </is>
      </c>
      <c r="N97" s="1" t="inlineStr">
        <is>
          <t>не проверено</t>
        </is>
      </c>
      <c r="O97" s="1" t="inlineStr">
        <is>
          <t>2026-09-11</t>
        </is>
      </c>
      <c r="P97" s="47" t="inlineStr">
        <is>
          <t>уточнить</t>
        </is>
      </c>
      <c r="Q9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98">
      <c r="A98" s="1" t="inlineStr">
        <is>
          <t>1_Ремонт</t>
        </is>
      </c>
      <c r="B98" s="1" t="n">
        <v>24</v>
      </c>
      <c r="C98" s="1" t="inlineStr">
        <is>
          <t>3. Сантехника</t>
        </is>
      </c>
      <c r="D98" s="1" t="inlineStr">
        <is>
          <t>Расходники (краны, гибкая подводка, ФУМ, силикон)</t>
        </is>
      </c>
      <c r="E98" s="1" t="inlineStr">
        <is>
          <t>компл</t>
        </is>
      </c>
      <c r="F98" s="1" t="inlineStr">
        <is>
          <t>МИН</t>
        </is>
      </c>
      <c r="G98" s="1" t="inlineStr">
        <is>
          <t>Краны шаровые 1/2 ×4 + подводка + ФУМ + герметик</t>
        </is>
      </c>
      <c r="H98" s="43" t="n"/>
      <c r="I98" s="43" t="n">
        <v>3000</v>
      </c>
      <c r="J98" s="44" t="n"/>
      <c r="K98" s="1" t="inlineStr">
        <is>
          <t>Лемана ПРО Саратов</t>
        </is>
      </c>
      <c r="L98" s="1" t="inlineStr">
        <is>
          <t>Саратов</t>
        </is>
      </c>
      <c r="M98" s="45" t="inlineStr">
        <is>
          <t>https://saratov.lemanapro.ru/catalogue/sharovye-krany/1-2-dyuyma/</t>
        </is>
      </c>
      <c r="N98" s="1" t="inlineStr">
        <is>
          <t>сниппет</t>
        </is>
      </c>
      <c r="O98" s="1" t="inlineStr">
        <is>
          <t>2026-09-11</t>
        </is>
      </c>
      <c r="P98" s="47" t="inlineStr">
        <is>
          <t>уточнить</t>
        </is>
      </c>
      <c r="Q98" s="1" t="inlineStr">
        <is>
          <t>Краны 1/2 «от 136 ₽» (сниппет); подводка и герметик без цен; сайт 401</t>
        </is>
      </c>
    </row>
    <row r="99">
      <c r="A99" s="1" t="inlineStr">
        <is>
          <t>1_Ремонт</t>
        </is>
      </c>
      <c r="B99" s="1" t="n">
        <v>24</v>
      </c>
      <c r="C99" s="1" t="inlineStr">
        <is>
          <t>3. Сантехника</t>
        </is>
      </c>
      <c r="D99" s="1" t="inlineStr">
        <is>
          <t>Расходники (краны, гибкая подводка, ФУМ, силикон)</t>
        </is>
      </c>
      <c r="E99" s="1" t="inlineStr">
        <is>
          <t>компл</t>
        </is>
      </c>
      <c r="F99" s="1" t="inlineStr">
        <is>
          <t>СРЕД</t>
        </is>
      </c>
      <c r="G99" s="1" t="inlineStr">
        <is>
          <t>То же, краны Stout/Valtec, подводка в нерж. оплётке</t>
        </is>
      </c>
      <c r="H99" s="43" t="n"/>
      <c r="I99" s="43" t="n">
        <v>6000</v>
      </c>
      <c r="J99" s="44" t="n"/>
      <c r="K99" s="1" t="inlineStr">
        <is>
          <t>Лемана ПРО Саратов</t>
        </is>
      </c>
      <c r="L99" s="1" t="inlineStr">
        <is>
          <t>Саратов</t>
        </is>
      </c>
      <c r="M99" s="45" t="inlineStr">
        <is>
          <t>https://saratov.lemanapro.ru/catalogue/podvodka-dlya-vody/</t>
        </is>
      </c>
      <c r="N99" s="1" t="inlineStr">
        <is>
          <t>не проверено</t>
        </is>
      </c>
      <c r="O99" s="1" t="inlineStr">
        <is>
          <t>2026-09-11</t>
        </is>
      </c>
      <c r="P99" s="47" t="inlineStr">
        <is>
          <t>уточнить</t>
        </is>
      </c>
      <c r="Q99" s="1" t="inlineStr">
        <is>
          <t>Цены не показаны</t>
        </is>
      </c>
    </row>
    <row r="100">
      <c r="A100" s="1" t="inlineStr">
        <is>
          <t>1_Ремонт</t>
        </is>
      </c>
      <c r="B100" s="1" t="n">
        <v>24</v>
      </c>
      <c r="C100" s="1" t="inlineStr">
        <is>
          <t>3. Сантехника</t>
        </is>
      </c>
      <c r="D100" s="1" t="inlineStr">
        <is>
          <t>Расходники (краны, гибкая подводка, ФУМ, силикон)</t>
        </is>
      </c>
      <c r="E100" s="1" t="inlineStr">
        <is>
          <t>компл</t>
        </is>
      </c>
      <c r="F100" s="1" t="inlineStr">
        <is>
          <t>МАКС</t>
        </is>
      </c>
      <c r="G100" s="1" t="inlineStr">
        <is>
          <t>То же, краны Bugatti, сильфонная подводка</t>
        </is>
      </c>
      <c r="H100" s="43" t="n"/>
      <c r="I100" s="43" t="n">
        <v>10000</v>
      </c>
      <c r="J100" s="44" t="n"/>
      <c r="K100" s="1" t="inlineStr">
        <is>
          <t>Лемана ПРО Саратов</t>
        </is>
      </c>
      <c r="L100" s="1" t="inlineStr">
        <is>
          <t>Саратов</t>
        </is>
      </c>
      <c r="M100" s="45" t="inlineStr">
        <is>
          <t>https://saratov.lemanapro.ru/catalogue/sharovye-krany/1-2-dyuyma/</t>
        </is>
      </c>
      <c r="N100" s="1" t="inlineStr">
        <is>
          <t>не проверено</t>
        </is>
      </c>
      <c r="O100" s="1" t="inlineStr">
        <is>
          <t>2026-09-11</t>
        </is>
      </c>
      <c r="P100" s="47" t="inlineStr">
        <is>
          <t>уточнить</t>
        </is>
      </c>
      <c r="Q100" s="1" t="inlineStr">
        <is>
          <t>Цены не показаны</t>
        </is>
      </c>
    </row>
    <row r="101">
      <c r="A101" s="1" t="inlineStr">
        <is>
          <t>1_Ремонт</t>
        </is>
      </c>
      <c r="B101" s="1" t="n">
        <v>24</v>
      </c>
      <c r="C101" s="1" t="inlineStr">
        <is>
          <t>3. Сантехника</t>
        </is>
      </c>
      <c r="D101" s="1" t="inlineStr">
        <is>
          <t>Расходники (краны, гибкая подводка, ФУМ, силикон)</t>
        </is>
      </c>
      <c r="E101" s="1" t="inlineStr">
        <is>
          <t>компл</t>
        </is>
      </c>
      <c r="F101" s="1" t="inlineStr">
        <is>
          <t>ВСЕ</t>
        </is>
      </c>
      <c r="G101" s="1" t="inlineStr">
        <is>
          <t>Авито Саратов — поиск «Расходники» (новые товары магазинов и объявления)</t>
        </is>
      </c>
      <c r="H101" s="43" t="n"/>
      <c r="I101" s="43" t="n"/>
      <c r="J101" s="44" t="n"/>
      <c r="K101" s="1" t="inlineStr">
        <is>
          <t>Авито Саратов</t>
        </is>
      </c>
      <c r="L101" s="1" t="inlineStr">
        <is>
          <t>Саратов</t>
        </is>
      </c>
      <c r="M101" s="45" t="inlineStr">
        <is>
          <t>https://www.avito.ru/saratov?q=%D0%A0%D0%B0%D1%81%D1%85%D0%BE%D0%B4%D0%BD%D0%B8%D0%BA%D0%B8</t>
        </is>
      </c>
      <c r="N101" s="1" t="inlineStr">
        <is>
          <t>не проверено</t>
        </is>
      </c>
      <c r="O101" s="1" t="inlineStr">
        <is>
          <t>2026-09-11</t>
        </is>
      </c>
      <c r="P101" s="47" t="inlineStr">
        <is>
          <t>уточнить</t>
        </is>
      </c>
      <c r="Q10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02">
      <c r="A102" s="1" t="inlineStr">
        <is>
          <t>1_Ремонт</t>
        </is>
      </c>
      <c r="B102" s="1" t="n">
        <v>25</v>
      </c>
      <c r="C102" s="1" t="inlineStr">
        <is>
          <t>4. Электрика</t>
        </is>
      </c>
      <c r="D102" s="1" t="inlineStr">
        <is>
          <t>Розетка (механизм)</t>
        </is>
      </c>
      <c r="E102" s="1" t="inlineStr">
        <is>
          <t>шт</t>
        </is>
      </c>
      <c r="F102" s="1" t="inlineStr">
        <is>
          <t>МИН</t>
        </is>
      </c>
      <c r="G102" s="1" t="inlineStr">
        <is>
          <t>Systeme Electric Glossa GSL000143, 16А с заземлением</t>
        </is>
      </c>
      <c r="H102" s="43" t="n">
        <v>211</v>
      </c>
      <c r="I102" s="43" t="n">
        <v>200</v>
      </c>
      <c r="J102" s="44" t="n">
        <v>5.5</v>
      </c>
      <c r="K102" s="1" t="inlineStr">
        <is>
          <t>Schneider-pro.ru</t>
        </is>
      </c>
      <c r="L102" s="1" t="inlineStr">
        <is>
          <t>доставка в Саратов</t>
        </is>
      </c>
      <c r="M102" s="45" t="inlineStr">
        <is>
          <t>https://schneider-pro.ru/products/rozetki-elektricheskie-schneider-electric-gsl000143.html</t>
        </is>
      </c>
      <c r="N102" s="1" t="inlineStr">
        <is>
          <t>сниппет</t>
        </is>
      </c>
      <c r="O102" s="1" t="inlineStr">
        <is>
          <t>2026-09-11</t>
        </is>
      </c>
      <c r="P102" s="46" t="inlineStr">
        <is>
          <t>ок</t>
        </is>
      </c>
      <c r="Q102" s="1" t="inlineStr">
        <is>
          <t>Есть в Лемана Саратов (GSL000148 со шторками), но страница отдаёт 401</t>
        </is>
      </c>
    </row>
    <row r="103">
      <c r="A103" s="1" t="inlineStr">
        <is>
          <t>1_Ремонт</t>
        </is>
      </c>
      <c r="B103" s="1" t="n">
        <v>25</v>
      </c>
      <c r="C103" s="1" t="inlineStr">
        <is>
          <t>4. Электрика</t>
        </is>
      </c>
      <c r="D103" s="1" t="inlineStr">
        <is>
          <t>Розетка (механизм)</t>
        </is>
      </c>
      <c r="E103" s="1" t="inlineStr">
        <is>
          <t>шт</t>
        </is>
      </c>
      <c r="F103" s="1" t="inlineStr">
        <is>
          <t>СРЕД</t>
        </is>
      </c>
      <c r="G103" s="1" t="inlineStr">
        <is>
          <t>Systeme Electric AtlasDesign ATN000143, 16А с заземлением</t>
        </is>
      </c>
      <c r="H103" s="43" t="n">
        <v>201.3</v>
      </c>
      <c r="I103" s="43" t="n">
        <v>900</v>
      </c>
      <c r="J103" s="48" t="n">
        <v>-77.59999999999999</v>
      </c>
      <c r="K103" s="1" t="inlineStr">
        <is>
          <t>Русский Свет (rs24)</t>
        </is>
      </c>
      <c r="L103" s="1" t="inlineStr">
        <is>
          <t>доставка в Саратов</t>
        </is>
      </c>
      <c r="M103" s="45" t="inlineStr">
        <is>
          <t>https://rs24.ru/product/2167931</t>
        </is>
      </c>
      <c r="N103" s="1" t="inlineStr">
        <is>
          <t>сниппет</t>
        </is>
      </c>
      <c r="O103" s="1" t="inlineStr">
        <is>
          <t>2026-09-11</t>
        </is>
      </c>
      <c r="P103" s="46" t="inlineStr">
        <is>
          <t>ок</t>
        </is>
      </c>
      <c r="Q103" s="1" t="inlineStr">
        <is>
          <t>ЭТМ 166,2; systeme.ru 209,84; Werkel W1171001 260–365 ₽ — смета завышена в 3–4 раза</t>
        </is>
      </c>
    </row>
    <row r="104">
      <c r="A104" s="1" t="inlineStr">
        <is>
          <t>1_Ремонт</t>
        </is>
      </c>
      <c r="B104" s="1" t="n">
        <v>25</v>
      </c>
      <c r="C104" s="1" t="inlineStr">
        <is>
          <t>4. Электрика</t>
        </is>
      </c>
      <c r="D104" s="1" t="inlineStr">
        <is>
          <t>Розетка (механизм)</t>
        </is>
      </c>
      <c r="E104" s="1" t="inlineStr">
        <is>
          <t>шт</t>
        </is>
      </c>
      <c r="F104" s="1" t="inlineStr">
        <is>
          <t>МАКС</t>
        </is>
      </c>
      <c r="G104" s="1" t="inlineStr">
        <is>
          <t>Legrand Valena Life 753420, 2К+З 16А со шторками</t>
        </is>
      </c>
      <c r="H104" s="43" t="n">
        <v>503.61</v>
      </c>
      <c r="I104" s="43" t="n">
        <v>2200</v>
      </c>
      <c r="J104" s="48" t="n">
        <v>-77.09999999999999</v>
      </c>
      <c r="K104" s="1" t="inlineStr">
        <is>
          <t>Elektro.ru (ЭКС)</t>
        </is>
      </c>
      <c r="L104" s="1" t="inlineStr">
        <is>
          <t>доставка в Саратов</t>
        </is>
      </c>
      <c r="M104" s="45" t="inlineStr">
        <is>
          <t>https://www.elektro.ru/product/silovaya_rozetka_2kz_16a_250v_s_zashchit_sht_bezvint_zazhimy_s_lits_panelyu_belyy_valena_life/</t>
        </is>
      </c>
      <c r="N104" s="1" t="inlineStr">
        <is>
          <t>сниппет</t>
        </is>
      </c>
      <c r="O104" s="1" t="inlineStr">
        <is>
          <t>2026-09-11</t>
        </is>
      </c>
      <c r="P104" s="46" t="inlineStr">
        <is>
          <t>ок</t>
        </is>
      </c>
      <c r="Q104" s="1" t="inlineStr">
        <is>
          <t>Разброс 349–573 ₽; Jung A550 A1520WW 753–955 ₽ (jungstore.ru); Gira E2 018803 349 ₽ (rozetki.su) — смета 2200 соответствует только дизайнерским сериям</t>
        </is>
      </c>
    </row>
    <row r="105">
      <c r="A105" s="1" t="inlineStr">
        <is>
          <t>1_Ремонт</t>
        </is>
      </c>
      <c r="B105" s="1" t="n">
        <v>25</v>
      </c>
      <c r="C105" s="1" t="inlineStr">
        <is>
          <t>4. Электрика</t>
        </is>
      </c>
      <c r="D105" s="1" t="inlineStr">
        <is>
          <t>Розетка (механизм)</t>
        </is>
      </c>
      <c r="E105" s="1" t="inlineStr">
        <is>
          <t>шт</t>
        </is>
      </c>
      <c r="F105" s="1" t="inlineStr">
        <is>
          <t>ВСЕ</t>
        </is>
      </c>
      <c r="G105" s="1" t="inlineStr">
        <is>
          <t>Авито Саратов — поиск «Розетка» (новые товары магазинов и объявления)</t>
        </is>
      </c>
      <c r="H105" s="43" t="n"/>
      <c r="I105" s="43" t="n"/>
      <c r="J105" s="44" t="n"/>
      <c r="K105" s="1" t="inlineStr">
        <is>
          <t>Авито Саратов</t>
        </is>
      </c>
      <c r="L105" s="1" t="inlineStr">
        <is>
          <t>Саратов</t>
        </is>
      </c>
      <c r="M105" s="45" t="inlineStr">
        <is>
          <t>https://www.avito.ru/saratov?q=%D0%A0%D0%BE%D0%B7%D0%B5%D1%82%D0%BA%D0%B0</t>
        </is>
      </c>
      <c r="N105" s="1" t="inlineStr">
        <is>
          <t>не проверено</t>
        </is>
      </c>
      <c r="O105" s="1" t="inlineStr">
        <is>
          <t>2026-09-11</t>
        </is>
      </c>
      <c r="P105" s="47" t="inlineStr">
        <is>
          <t>уточнить</t>
        </is>
      </c>
      <c r="Q10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06">
      <c r="A106" s="1" t="inlineStr">
        <is>
          <t>1_Ремонт</t>
        </is>
      </c>
      <c r="B106" s="1" t="n">
        <v>26</v>
      </c>
      <c r="C106" s="1" t="inlineStr">
        <is>
          <t>4. Электрика</t>
        </is>
      </c>
      <c r="D106" s="1" t="inlineStr">
        <is>
          <t>Выключатель (механизм)</t>
        </is>
      </c>
      <c r="E106" s="1" t="inlineStr">
        <is>
          <t>шт</t>
        </is>
      </c>
      <c r="F106" s="1" t="inlineStr">
        <is>
          <t>МИН</t>
        </is>
      </c>
      <c r="G106" s="1" t="inlineStr">
        <is>
          <t>Systeme Electric Glossa GSL000161, 1-кл переключатель</t>
        </is>
      </c>
      <c r="H106" s="43" t="n">
        <v>308</v>
      </c>
      <c r="I106" s="43" t="n">
        <v>200</v>
      </c>
      <c r="J106" s="48" t="n">
        <v>54</v>
      </c>
      <c r="K106" s="1" t="inlineStr">
        <is>
          <t>Schneider-store.ru</t>
        </is>
      </c>
      <c r="L106" s="1" t="inlineStr">
        <is>
          <t>доставка в Саратов</t>
        </is>
      </c>
      <c r="M106" s="45" t="inlineStr">
        <is>
          <t>https://schneider-store.ru/rozyetki-i-vyklyuchatyeli/glossa/SCGSL000161/</t>
        </is>
      </c>
      <c r="N106" s="1" t="inlineStr">
        <is>
          <t>сниппет</t>
        </is>
      </c>
      <c r="O106" s="1" t="inlineStr">
        <is>
          <t>2026-09-11</t>
        </is>
      </c>
      <c r="P106" s="46" t="inlineStr">
        <is>
          <t>ок</t>
        </is>
      </c>
      <c r="Q106" s="1" t="inlineStr">
        <is>
          <t>Это проходной переключатель; простой 1-кл GSL000111 не проверялся (обычно дешевле)</t>
        </is>
      </c>
    </row>
    <row r="107">
      <c r="A107" s="1" t="inlineStr">
        <is>
          <t>1_Ремонт</t>
        </is>
      </c>
      <c r="B107" s="1" t="n">
        <v>26</v>
      </c>
      <c r="C107" s="1" t="inlineStr">
        <is>
          <t>4. Электрика</t>
        </is>
      </c>
      <c r="D107" s="1" t="inlineStr">
        <is>
          <t>Выключатель (механизм)</t>
        </is>
      </c>
      <c r="E107" s="1" t="inlineStr">
        <is>
          <t>шт</t>
        </is>
      </c>
      <c r="F107" s="1" t="inlineStr">
        <is>
          <t>СРЕД</t>
        </is>
      </c>
      <c r="G107" s="1" t="inlineStr">
        <is>
          <t>Systeme Electric AtlasDesign ATN000111, 1-кл 10АХ</t>
        </is>
      </c>
      <c r="H107" s="43" t="n">
        <v>153</v>
      </c>
      <c r="I107" s="43" t="n">
        <v>900</v>
      </c>
      <c r="J107" s="48" t="n">
        <v>-83</v>
      </c>
      <c r="K107" s="1" t="inlineStr">
        <is>
          <t>ЭТМ / Schneider-pro.ru</t>
        </is>
      </c>
      <c r="L107" s="1" t="inlineStr">
        <is>
          <t>доставка в Саратов</t>
        </is>
      </c>
      <c r="M107" s="45" t="inlineStr">
        <is>
          <t>https://www.etm.ru/cat/nn/2857614</t>
        </is>
      </c>
      <c r="N107" s="1" t="inlineStr">
        <is>
          <t>сниппет</t>
        </is>
      </c>
      <c r="O107" s="1" t="inlineStr">
        <is>
          <t>2026-09-11</t>
        </is>
      </c>
      <c r="P107" s="46" t="inlineStr">
        <is>
          <t>ок</t>
        </is>
      </c>
      <c r="Q107" s="1" t="inlineStr">
        <is>
          <t>systeme.ru 185,44 ₽; смета завышена в 5–6 раз</t>
        </is>
      </c>
    </row>
    <row r="108">
      <c r="A108" s="1" t="inlineStr">
        <is>
          <t>1_Ремонт</t>
        </is>
      </c>
      <c r="B108" s="1" t="n">
        <v>26</v>
      </c>
      <c r="C108" s="1" t="inlineStr">
        <is>
          <t>4. Электрика</t>
        </is>
      </c>
      <c r="D108" s="1" t="inlineStr">
        <is>
          <t>Выключатель (механизм)</t>
        </is>
      </c>
      <c r="E108" s="1" t="inlineStr">
        <is>
          <t>шт</t>
        </is>
      </c>
      <c r="F108" s="1" t="inlineStr">
        <is>
          <t>МАКС</t>
        </is>
      </c>
      <c r="G108" s="1" t="inlineStr">
        <is>
          <t>Jung A550 501U + A590WW, 1-кл</t>
        </is>
      </c>
      <c r="H108" s="43" t="n">
        <v>1441</v>
      </c>
      <c r="I108" s="43" t="n">
        <v>2500</v>
      </c>
      <c r="J108" s="48" t="n">
        <v>-42.4</v>
      </c>
      <c r="K108" s="1" t="inlineStr">
        <is>
          <t>Jung-pro.ru</t>
        </is>
      </c>
      <c r="L108" s="1" t="inlineStr">
        <is>
          <t>доставка в Саратов</t>
        </is>
      </c>
      <c r="M108" s="45" t="inlineStr">
        <is>
          <t>https://jung-pro.ru/vyiklyuchateli/series-a_550/</t>
        </is>
      </c>
      <c r="N108" s="1" t="inlineStr">
        <is>
          <t>сниппет</t>
        </is>
      </c>
      <c r="O108" s="1" t="inlineStr">
        <is>
          <t>2026-09-11</t>
        </is>
      </c>
      <c r="P108" s="46" t="inlineStr">
        <is>
          <t>ок</t>
        </is>
      </c>
      <c r="Q108" s="1" t="inlineStr">
        <is>
          <t>Другой продавец 1 722 ₽</t>
        </is>
      </c>
    </row>
    <row r="109">
      <c r="A109" s="1" t="inlineStr">
        <is>
          <t>1_Ремонт</t>
        </is>
      </c>
      <c r="B109" s="1" t="n">
        <v>26</v>
      </c>
      <c r="C109" s="1" t="inlineStr">
        <is>
          <t>4. Электрика</t>
        </is>
      </c>
      <c r="D109" s="1" t="inlineStr">
        <is>
          <t>Выключатель (механизм)</t>
        </is>
      </c>
      <c r="E109" s="1" t="inlineStr">
        <is>
          <t>шт</t>
        </is>
      </c>
      <c r="F109" s="1" t="inlineStr">
        <is>
          <t>ВСЕ</t>
        </is>
      </c>
      <c r="G109" s="1" t="inlineStr">
        <is>
          <t>Авито Саратов — поиск «Выключатель» (новые товары магазинов и объявления)</t>
        </is>
      </c>
      <c r="H109" s="43" t="n"/>
      <c r="I109" s="43" t="n"/>
      <c r="J109" s="44" t="n"/>
      <c r="K109" s="1" t="inlineStr">
        <is>
          <t>Авито Саратов</t>
        </is>
      </c>
      <c r="L109" s="1" t="inlineStr">
        <is>
          <t>Саратов</t>
        </is>
      </c>
      <c r="M109" s="45" t="inlineStr">
        <is>
          <t>https://www.avito.ru/saratov?q=%D0%92%D1%8B%D0%BA%D0%BB%D1%8E%D1%87%D0%B0%D1%82%D0%B5%D0%BB%D1%8C</t>
        </is>
      </c>
      <c r="N109" s="1" t="inlineStr">
        <is>
          <t>не проверено</t>
        </is>
      </c>
      <c r="O109" s="1" t="inlineStr">
        <is>
          <t>2026-09-11</t>
        </is>
      </c>
      <c r="P109" s="47" t="inlineStr">
        <is>
          <t>уточнить</t>
        </is>
      </c>
      <c r="Q10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10">
      <c r="A110" s="1" t="inlineStr">
        <is>
          <t>1_Ремонт</t>
        </is>
      </c>
      <c r="B110" s="1" t="n">
        <v>27</v>
      </c>
      <c r="C110" s="1" t="inlineStr">
        <is>
          <t>4. Электрика</t>
        </is>
      </c>
      <c r="D110" s="1" t="inlineStr">
        <is>
          <t>Рамки</t>
        </is>
      </c>
      <c r="E110" s="1" t="inlineStr">
        <is>
          <t>шт</t>
        </is>
      </c>
      <c r="F110" s="1" t="inlineStr">
        <is>
          <t>МИН</t>
        </is>
      </c>
      <c r="G110" s="1" t="inlineStr">
        <is>
          <t>Systeme Electric Glossa GSL000101, 1 пост</t>
        </is>
      </c>
      <c r="H110" s="43" t="n">
        <v>47.63</v>
      </c>
      <c r="I110" s="43" t="n">
        <v>60</v>
      </c>
      <c r="J110" s="44" t="n">
        <v>-20.6</v>
      </c>
      <c r="K110" s="1" t="inlineStr">
        <is>
          <t>ЭТМ</t>
        </is>
      </c>
      <c r="L110" s="1" t="inlineStr">
        <is>
          <t>доставка в Саратов</t>
        </is>
      </c>
      <c r="M110" s="45" t="inlineStr">
        <is>
          <t>https://www.etm.ru/cat/nn/275807</t>
        </is>
      </c>
      <c r="N110" s="1" t="inlineStr">
        <is>
          <t>сниппет</t>
        </is>
      </c>
      <c r="O110" s="1" t="inlineStr">
        <is>
          <t>2026-09-11</t>
        </is>
      </c>
      <c r="P110" s="46" t="inlineStr">
        <is>
          <t>ок</t>
        </is>
      </c>
      <c r="Q110" s="1" t="inlineStr">
        <is>
          <t>systeme.ru 62,59 ₽</t>
        </is>
      </c>
    </row>
    <row r="111">
      <c r="A111" s="1" t="inlineStr">
        <is>
          <t>1_Ремонт</t>
        </is>
      </c>
      <c r="B111" s="1" t="n">
        <v>27</v>
      </c>
      <c r="C111" s="1" t="inlineStr">
        <is>
          <t>4. Электрика</t>
        </is>
      </c>
      <c r="D111" s="1" t="inlineStr">
        <is>
          <t>Рамки</t>
        </is>
      </c>
      <c r="E111" s="1" t="inlineStr">
        <is>
          <t>шт</t>
        </is>
      </c>
      <c r="F111" s="1" t="inlineStr">
        <is>
          <t>СРЕД</t>
        </is>
      </c>
      <c r="G111" s="1" t="inlineStr">
        <is>
          <t>Werkel W0011801, 1 пост, белый</t>
        </is>
      </c>
      <c r="H111" s="43" t="n">
        <v>122</v>
      </c>
      <c r="I111" s="43" t="n">
        <v>250</v>
      </c>
      <c r="J111" s="48" t="n">
        <v>-51.2</v>
      </c>
      <c r="K111" s="1" t="inlineStr">
        <is>
          <t>Electrobufet.ru</t>
        </is>
      </c>
      <c r="L111" s="1" t="inlineStr">
        <is>
          <t>доставка в Саратов</t>
        </is>
      </c>
      <c r="M111" s="45" t="inlineStr">
        <is>
          <t>https://electrobufet.ru/products/wl04-frame-01-white</t>
        </is>
      </c>
      <c r="N111" s="1" t="inlineStr">
        <is>
          <t>сниппет</t>
        </is>
      </c>
      <c r="O111" s="1" t="inlineStr">
        <is>
          <t>2026-09-11</t>
        </is>
      </c>
      <c r="P111" s="46" t="inlineStr">
        <is>
          <t>ок</t>
        </is>
      </c>
      <c r="Q111" s="1" t="inlineStr">
        <is>
          <t>AtlasDesign ATN000101 47,5 ₽ (rs24); Werkel Favorit стекло W0011101 899 ₽</t>
        </is>
      </c>
    </row>
    <row r="112">
      <c r="A112" s="1" t="inlineStr">
        <is>
          <t>1_Ремонт</t>
        </is>
      </c>
      <c r="B112" s="1" t="n">
        <v>27</v>
      </c>
      <c r="C112" s="1" t="inlineStr">
        <is>
          <t>4. Электрика</t>
        </is>
      </c>
      <c r="D112" s="1" t="inlineStr">
        <is>
          <t>Рамки</t>
        </is>
      </c>
      <c r="E112" s="1" t="inlineStr">
        <is>
          <t>шт</t>
        </is>
      </c>
      <c r="F112" s="1" t="inlineStr">
        <is>
          <t>МАКС</t>
        </is>
      </c>
      <c r="G112" s="1" t="inlineStr">
        <is>
          <t>Jung A550 рамка 1 пост</t>
        </is>
      </c>
      <c r="H112" s="43" t="n">
        <v>687</v>
      </c>
      <c r="I112" s="43" t="n">
        <v>800</v>
      </c>
      <c r="J112" s="44" t="n">
        <v>-14.1</v>
      </c>
      <c r="K112" s="1" t="inlineStr">
        <is>
          <t>Jungstore.ru</t>
        </is>
      </c>
      <c r="L112" s="1" t="inlineStr">
        <is>
          <t>доставка в Саратов</t>
        </is>
      </c>
      <c r="M112" s="45" t="inlineStr">
        <is>
          <t>https://jungstore.ru/a-550/ramki/</t>
        </is>
      </c>
      <c r="N112" s="1" t="inlineStr">
        <is>
          <t>сниппет</t>
        </is>
      </c>
      <c r="O112" s="1" t="inlineStr">
        <is>
          <t>2026-09-11</t>
        </is>
      </c>
      <c r="P112" s="46" t="inlineStr">
        <is>
          <t>ок</t>
        </is>
      </c>
      <c r="Q112" s="1" t="inlineStr">
        <is>
          <t>«от 687 ₽» по каталогу серии</t>
        </is>
      </c>
    </row>
    <row r="113">
      <c r="A113" s="1" t="inlineStr">
        <is>
          <t>1_Ремонт</t>
        </is>
      </c>
      <c r="B113" s="1" t="n">
        <v>27</v>
      </c>
      <c r="C113" s="1" t="inlineStr">
        <is>
          <t>4. Электрика</t>
        </is>
      </c>
      <c r="D113" s="1" t="inlineStr">
        <is>
          <t>Рамки</t>
        </is>
      </c>
      <c r="E113" s="1" t="inlineStr">
        <is>
          <t>шт</t>
        </is>
      </c>
      <c r="F113" s="1" t="inlineStr">
        <is>
          <t>ВСЕ</t>
        </is>
      </c>
      <c r="G113" s="1" t="inlineStr">
        <is>
          <t>Авито Саратов — поиск «Рамки» (новые товары магазинов и объявления)</t>
        </is>
      </c>
      <c r="H113" s="43" t="n"/>
      <c r="I113" s="43" t="n"/>
      <c r="J113" s="44" t="n"/>
      <c r="K113" s="1" t="inlineStr">
        <is>
          <t>Авито Саратов</t>
        </is>
      </c>
      <c r="L113" s="1" t="inlineStr">
        <is>
          <t>Саратов</t>
        </is>
      </c>
      <c r="M113" s="45" t="inlineStr">
        <is>
          <t>https://www.avito.ru/saratov?q=%D0%A0%D0%B0%D0%BC%D0%BA%D0%B8</t>
        </is>
      </c>
      <c r="N113" s="1" t="inlineStr">
        <is>
          <t>не проверено</t>
        </is>
      </c>
      <c r="O113" s="1" t="inlineStr">
        <is>
          <t>2026-09-11</t>
        </is>
      </c>
      <c r="P113" s="47" t="inlineStr">
        <is>
          <t>уточнить</t>
        </is>
      </c>
      <c r="Q11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14">
      <c r="A114" s="1" t="inlineStr">
        <is>
          <t>1_Ремонт</t>
        </is>
      </c>
      <c r="B114" s="1" t="n">
        <v>28</v>
      </c>
      <c r="C114" s="1" t="inlineStr">
        <is>
          <t>4. Электрика</t>
        </is>
      </c>
      <c r="D114" s="1" t="inlineStr">
        <is>
          <t>Подрозетники</t>
        </is>
      </c>
      <c r="E114" s="1" t="inlineStr">
        <is>
          <t>шт</t>
        </is>
      </c>
      <c r="F114" s="1" t="inlineStr">
        <is>
          <t>МИН</t>
        </is>
      </c>
      <c r="G114" s="1" t="inlineStr">
        <is>
          <t>Подрозетник под бетон/кирпич 68×45</t>
        </is>
      </c>
      <c r="H114" s="43" t="n">
        <v>5.1</v>
      </c>
      <c r="I114" s="43" t="n">
        <v>60</v>
      </c>
      <c r="J114" s="48" t="n">
        <v>-91.5</v>
      </c>
      <c r="K114" s="1" t="inlineStr">
        <is>
          <t>Лемана ПРО (цена Москва)</t>
        </is>
      </c>
      <c r="L114" s="1" t="inlineStr">
        <is>
          <t>доставка в Саратов</t>
        </is>
      </c>
      <c r="M114" s="45" t="inlineStr">
        <is>
          <t>https://lemanapro.ru/product/podrozetnik-pod-beton-kirpich-68x45-mm-18539881/</t>
        </is>
      </c>
      <c r="N114" s="1" t="inlineStr">
        <is>
          <t>сниппет</t>
        </is>
      </c>
      <c r="O114" s="1" t="inlineStr">
        <is>
          <t>2026-09-11</t>
        </is>
      </c>
      <c r="P114" s="46" t="inlineStr">
        <is>
          <t>ок</t>
        </is>
      </c>
      <c r="Q114" s="1" t="inlineStr">
        <is>
          <t>Саратовский сайт блокирует доступ; цена Москва</t>
        </is>
      </c>
    </row>
    <row r="115">
      <c r="A115" s="1" t="inlineStr">
        <is>
          <t>1_Ремонт</t>
        </is>
      </c>
      <c r="B115" s="1" t="n">
        <v>28</v>
      </c>
      <c r="C115" s="1" t="inlineStr">
        <is>
          <t>4. Электрика</t>
        </is>
      </c>
      <c r="D115" s="1" t="inlineStr">
        <is>
          <t>Подрозетники</t>
        </is>
      </c>
      <c r="E115" s="1" t="inlineStr">
        <is>
          <t>шт</t>
        </is>
      </c>
      <c r="F115" s="1" t="inlineStr">
        <is>
          <t>СРЕД</t>
        </is>
      </c>
      <c r="G115" s="1" t="inlineStr">
        <is>
          <t>Подрозетник под гипсокартон (категория)</t>
        </is>
      </c>
      <c r="H115" s="43" t="n">
        <v>17.3</v>
      </c>
      <c r="I115" s="43" t="n">
        <v>60</v>
      </c>
      <c r="J115" s="48" t="n">
        <v>-71.2</v>
      </c>
      <c r="K115" s="1" t="inlineStr">
        <is>
          <t>Лемана ПРО</t>
        </is>
      </c>
      <c r="L115" s="1" t="inlineStr">
        <is>
          <t>доставка в Саратов</t>
        </is>
      </c>
      <c r="M115" s="45" t="inlineStr">
        <is>
          <t>https://lemanapro.ru/catalogue/podrozetniki/pod-gipsokarton/</t>
        </is>
      </c>
      <c r="N115" s="1" t="inlineStr">
        <is>
          <t>сниппет</t>
        </is>
      </c>
      <c r="O115" s="1" t="inlineStr">
        <is>
          <t>2026-09-11</t>
        </is>
      </c>
      <c r="P115" s="47" t="inlineStr">
        <is>
          <t>уточнить</t>
        </is>
      </c>
      <c r="Q115" s="1" t="inlineStr">
        <is>
          <t>Каталог «от 17,30 ₽»</t>
        </is>
      </c>
    </row>
    <row r="116">
      <c r="A116" s="1" t="inlineStr">
        <is>
          <t>1_Ремонт</t>
        </is>
      </c>
      <c r="B116" s="1" t="n">
        <v>28</v>
      </c>
      <c r="C116" s="1" t="inlineStr">
        <is>
          <t>4. Электрика</t>
        </is>
      </c>
      <c r="D116" s="1" t="inlineStr">
        <is>
          <t>Подрозетники</t>
        </is>
      </c>
      <c r="E116" s="1" t="inlineStr">
        <is>
          <t>шт</t>
        </is>
      </c>
      <c r="F116" s="1" t="inlineStr">
        <is>
          <t>МАКС</t>
        </is>
      </c>
      <c r="G116" s="1" t="inlineStr">
        <is>
          <t>Systeme Electric под гипсокартон 68×47</t>
        </is>
      </c>
      <c r="H116" s="43" t="n">
        <v>90</v>
      </c>
      <c r="I116" s="43" t="n">
        <v>60</v>
      </c>
      <c r="J116" s="48" t="n">
        <v>50</v>
      </c>
      <c r="K116" s="1" t="inlineStr">
        <is>
          <t>Лемана ПРО Саратов</t>
        </is>
      </c>
      <c r="L116" s="1" t="inlineStr">
        <is>
          <t>Саратов</t>
        </is>
      </c>
      <c r="M116" s="45" t="inlineStr">
        <is>
          <t>https://saratov.lemanapro.ru/product/podrozetnik-systeme-electric-pod-gipsokarton-68x47-mm-cvet-zheltyy-12468073/</t>
        </is>
      </c>
      <c r="N116" s="1" t="inlineStr">
        <is>
          <t>сниппет</t>
        </is>
      </c>
      <c r="O116" s="1" t="inlineStr">
        <is>
          <t>2026-09-11</t>
        </is>
      </c>
      <c r="P116" s="46" t="inlineStr">
        <is>
          <t>ок</t>
        </is>
      </c>
      <c r="Q116" s="1" t="inlineStr">
        <is>
          <t>Единственная подтверждённая саратовская цена по позиции</t>
        </is>
      </c>
    </row>
    <row r="117">
      <c r="A117" s="1" t="inlineStr">
        <is>
          <t>1_Ремонт</t>
        </is>
      </c>
      <c r="B117" s="1" t="n">
        <v>28</v>
      </c>
      <c r="C117" s="1" t="inlineStr">
        <is>
          <t>4. Электрика</t>
        </is>
      </c>
      <c r="D117" s="1" t="inlineStr">
        <is>
          <t>Подрозетники</t>
        </is>
      </c>
      <c r="E117" s="1" t="inlineStr">
        <is>
          <t>шт</t>
        </is>
      </c>
      <c r="F117" s="1" t="inlineStr">
        <is>
          <t>ВСЕ</t>
        </is>
      </c>
      <c r="G117" s="1" t="inlineStr">
        <is>
          <t>Авито Саратов — поиск «Подрозетники» (новые товары магазинов и объявления)</t>
        </is>
      </c>
      <c r="H117" s="43" t="n"/>
      <c r="I117" s="43" t="n"/>
      <c r="J117" s="44" t="n"/>
      <c r="K117" s="1" t="inlineStr">
        <is>
          <t>Авито Саратов</t>
        </is>
      </c>
      <c r="L117" s="1" t="inlineStr">
        <is>
          <t>Саратов</t>
        </is>
      </c>
      <c r="M117" s="45" t="inlineStr">
        <is>
          <t>https://www.avito.ru/saratov?q=%D0%9F%D0%BE%D0%B4%D1%80%D0%BE%D0%B7%D0%B5%D1%82%D0%BD%D0%B8%D0%BA%D0%B8</t>
        </is>
      </c>
      <c r="N117" s="1" t="inlineStr">
        <is>
          <t>не проверено</t>
        </is>
      </c>
      <c r="O117" s="1" t="inlineStr">
        <is>
          <t>2026-09-11</t>
        </is>
      </c>
      <c r="P117" s="47" t="inlineStr">
        <is>
          <t>уточнить</t>
        </is>
      </c>
      <c r="Q11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18">
      <c r="A118" s="1" t="inlineStr">
        <is>
          <t>1_Ремонт</t>
        </is>
      </c>
      <c r="B118" s="1" t="n">
        <v>29</v>
      </c>
      <c r="C118" s="1" t="inlineStr">
        <is>
          <t>4. Электрика</t>
        </is>
      </c>
      <c r="D118" s="1" t="inlineStr">
        <is>
          <t>Щит в сборе (бокс, автоматы, УЗО/дифы, реле напряжения)</t>
        </is>
      </c>
      <c r="E118" s="1" t="inlineStr">
        <is>
          <t>компл</t>
        </is>
      </c>
      <c r="F118" s="1" t="inlineStr">
        <is>
          <t>МИН</t>
        </is>
      </c>
      <c r="G118" s="1" t="inlineStr">
        <is>
          <t>IEK: ЩРН-П-24 (2 273) + 10×ВА47-29 C16 (140) + ВА47-29 C32 (200) + 2×УЗО ВД1-63 2P 40А 30мА (1 327)</t>
        </is>
      </c>
      <c r="H118" s="43" t="n">
        <v>6527</v>
      </c>
      <c r="I118" s="43" t="n">
        <v>8000</v>
      </c>
      <c r="J118" s="44" t="n">
        <v>-18.4</v>
      </c>
      <c r="K118" s="1" t="inlineStr">
        <is>
          <t>21vek-220v / Лемана ПРО Москва / Shop220</t>
        </is>
      </c>
      <c r="L118" s="1" t="inlineStr">
        <is>
          <t>доставка в Саратов</t>
        </is>
      </c>
      <c r="M118" s="45" t="inlineStr">
        <is>
          <t>https://www.21vek-220v.ru/cat/mkp12n244010-boks-shhrnp24modulya-navesnoj-plastik-ip40-iek</t>
        </is>
      </c>
      <c r="N118" s="1" t="inlineStr">
        <is>
          <t>сниппет</t>
        </is>
      </c>
      <c r="O118" s="1" t="inlineStr">
        <is>
          <t>2026-09-11</t>
        </is>
      </c>
      <c r="P118" s="47" t="inlineStr">
        <is>
          <t>уточнить</t>
        </is>
      </c>
      <c r="Q118" s="1" t="inlineStr">
        <is>
          <t>Состав — допущение; без вводного 2P и реле напряжения; ВА47-29 C16 140 ₽ https://lemanapro.ru/product/avtomaticheskiy-vyklyuchatel-iek-home-va47-29-1p-c16-a-45-ka-18072272/ ; УЗО https://shop220.ru/mdv10-2-040-030-uzo-vd1-63-2r-40a-30ma-iek.htm</t>
        </is>
      </c>
    </row>
    <row r="119">
      <c r="A119" s="1" t="inlineStr">
        <is>
          <t>1_Ремонт</t>
        </is>
      </c>
      <c r="B119" s="1" t="n">
        <v>29</v>
      </c>
      <c r="C119" s="1" t="inlineStr">
        <is>
          <t>4. Электрика</t>
        </is>
      </c>
      <c r="D119" s="1" t="inlineStr">
        <is>
          <t>Щит в сборе (бокс, автоматы, УЗО/дифы, реле напряжения)</t>
        </is>
      </c>
      <c r="E119" s="1" t="inlineStr">
        <is>
          <t>компл</t>
        </is>
      </c>
      <c r="F119" s="1" t="inlineStr">
        <is>
          <t>СРЕД</t>
        </is>
      </c>
      <c r="G119" s="1" t="inlineStr">
        <is>
          <t>Schneider Easy9: бокс IEK 2 273 + 10×EZ9F34116 (381) + 2×EZ9R34240 (1 392) + реле RBUZ D2-63 (3 752)</t>
        </is>
      </c>
      <c r="H119" s="43" t="n">
        <v>12619</v>
      </c>
      <c r="I119" s="43" t="n">
        <v>25000</v>
      </c>
      <c r="J119" s="48" t="n">
        <v>-49.5</v>
      </c>
      <c r="K119" s="1" t="inlineStr">
        <is>
          <t>Schneider-pro / Schneider-store / Главреле</t>
        </is>
      </c>
      <c r="L119" s="1" t="inlineStr">
        <is>
          <t>доставка в Саратов</t>
        </is>
      </c>
      <c r="M119" s="45" t="inlineStr">
        <is>
          <t>https://schneider-pro.ru/products/schneider-electric-ez9f34116.html</t>
        </is>
      </c>
      <c r="N119" s="1" t="inlineStr">
        <is>
          <t>сниппет</t>
        </is>
      </c>
      <c r="O119" s="1" t="inlineStr">
        <is>
          <t>2026-09-11</t>
        </is>
      </c>
      <c r="P119" s="47" t="inlineStr">
        <is>
          <t>уточнить</t>
        </is>
      </c>
      <c r="Q119" s="1" t="inlineStr">
        <is>
          <t>Состав — допущение; УЗО EZ9R34240 разброс 1 392–4 209 ₽ (при 2 889 → 15 613 ₽); реле https://glavrele.ru/catalog/rele_kontrol/rele_u/1faza/rbuz_d2_63/</t>
        </is>
      </c>
    </row>
    <row r="120">
      <c r="A120" s="1" t="inlineStr">
        <is>
          <t>1_Ремонт</t>
        </is>
      </c>
      <c r="B120" s="1" t="n">
        <v>29</v>
      </c>
      <c r="C120" s="1" t="inlineStr">
        <is>
          <t>4. Электрика</t>
        </is>
      </c>
      <c r="D120" s="1" t="inlineStr">
        <is>
          <t>Щит в сборе (бокс, автоматы, УЗО/дифы, реле напряжения)</t>
        </is>
      </c>
      <c r="E120" s="1" t="inlineStr">
        <is>
          <t>компл</t>
        </is>
      </c>
      <c r="F120" s="1" t="inlineStr">
        <is>
          <t>МАКС</t>
        </is>
      </c>
      <c r="G120" s="1" t="inlineStr">
        <is>
          <t>ABB: бокс 2 273 + 10×дифавтомат DS201 C16 AC30 (3 818) + RBUZ D2-63 (3 752) + УЗИП OVR T2 40-275 P QS (6 452)</t>
        </is>
      </c>
      <c r="H120" s="43" t="n">
        <v>50657</v>
      </c>
      <c r="I120" s="43" t="n">
        <v>60000</v>
      </c>
      <c r="J120" s="44" t="n">
        <v>-15.6</v>
      </c>
      <c r="K120" s="1" t="inlineStr">
        <is>
          <t>Электротовары.ру / Shop220 / Главреле</t>
        </is>
      </c>
      <c r="L120" s="1" t="inlineStr">
        <is>
          <t>доставка в Саратов</t>
        </is>
      </c>
      <c r="M120" s="45" t="inlineStr">
        <is>
          <t>https://elektro-tovars.ru/catalog/dif-avtomaty-uzo/dif-avtomaty-abb/ds-201/ds201-c16a</t>
        </is>
      </c>
      <c r="N120" s="1" t="inlineStr">
        <is>
          <t>сниппет</t>
        </is>
      </c>
      <c r="O120" s="1" t="inlineStr">
        <is>
          <t>2026-09-11</t>
        </is>
      </c>
      <c r="P120" s="47" t="inlineStr">
        <is>
          <t>уточнить</t>
        </is>
      </c>
      <c r="Q120" s="1" t="inlineStr">
        <is>
          <t>Состав — допущение; DS201 разброс 3 199–4 489 ₽; УЗИП https://shop220.ru/2ctb803871r2300-ogranichitel-perenapryazheniya-uzip-abb-ovr-t2-40-275-p-qs.htm ; ABB S201 C16 594 ₽ в Лемана (Москва)</t>
        </is>
      </c>
    </row>
    <row r="121">
      <c r="A121" s="1" t="inlineStr">
        <is>
          <t>1_Ремонт</t>
        </is>
      </c>
      <c r="B121" s="1" t="n">
        <v>29</v>
      </c>
      <c r="C121" s="1" t="inlineStr">
        <is>
          <t>4. Электрика</t>
        </is>
      </c>
      <c r="D121" s="1" t="inlineStr">
        <is>
          <t>Щит в сборе (бокс, автоматы, УЗО/дифы, реле напряжения)</t>
        </is>
      </c>
      <c r="E121" s="1" t="inlineStr">
        <is>
          <t>компл</t>
        </is>
      </c>
      <c r="F121" s="1" t="inlineStr">
        <is>
          <t>ВСЕ</t>
        </is>
      </c>
      <c r="G121" s="1" t="inlineStr">
        <is>
          <t>Авито Саратов — поиск «Щит в сборе» (новые товары магазинов и объявления)</t>
        </is>
      </c>
      <c r="H121" s="43" t="n"/>
      <c r="I121" s="43" t="n"/>
      <c r="J121" s="44" t="n"/>
      <c r="K121" s="1" t="inlineStr">
        <is>
          <t>Авито Саратов</t>
        </is>
      </c>
      <c r="L121" s="1" t="inlineStr">
        <is>
          <t>Саратов</t>
        </is>
      </c>
      <c r="M121" s="45" t="inlineStr">
        <is>
          <t>https://www.avito.ru/saratov?q=%D0%A9%D0%B8%D1%82%20%D0%B2%20%D1%81%D0%B1%D0%BE%D1%80%D0%B5</t>
        </is>
      </c>
      <c r="N121" s="1" t="inlineStr">
        <is>
          <t>не проверено</t>
        </is>
      </c>
      <c r="O121" s="1" t="inlineStr">
        <is>
          <t>2026-09-11</t>
        </is>
      </c>
      <c r="P121" s="47" t="inlineStr">
        <is>
          <t>уточнить</t>
        </is>
      </c>
      <c r="Q12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22">
      <c r="A122" s="1" t="inlineStr">
        <is>
          <t>1_Ремонт</t>
        </is>
      </c>
      <c r="B122" s="1" t="n">
        <v>30</v>
      </c>
      <c r="C122" s="1" t="inlineStr">
        <is>
          <t>4. Электрика</t>
        </is>
      </c>
      <c r="D122" s="1" t="inlineStr">
        <is>
          <t>Кабель на доделку линий</t>
        </is>
      </c>
      <c r="E122" s="1" t="inlineStr">
        <is>
          <t>компл</t>
        </is>
      </c>
      <c r="F122" s="1" t="inlineStr">
        <is>
          <t>МИН</t>
        </is>
      </c>
      <c r="G122" s="1" t="inlineStr">
        <is>
          <t>30 м ВВГнг(А)-LS 3×2,5 РЭК-Prysmian (97,5 ₽/м)</t>
        </is>
      </c>
      <c r="H122" s="43" t="n">
        <v>2925</v>
      </c>
      <c r="I122" s="43" t="n">
        <v>3000</v>
      </c>
      <c r="J122" s="44" t="n">
        <v>-2.5</v>
      </c>
      <c r="K122" s="1" t="inlineStr">
        <is>
          <t>Русский Свет (rs24)</t>
        </is>
      </c>
      <c r="L122" s="1" t="inlineStr">
        <is>
          <t>доставка в Саратов</t>
        </is>
      </c>
      <c r="M122" s="45" t="inlineStr">
        <is>
          <t>https://rs24.ru/product/19851</t>
        </is>
      </c>
      <c r="N122" s="1" t="inlineStr">
        <is>
          <t>сниппет</t>
        </is>
      </c>
      <c r="O122" s="1" t="inlineStr">
        <is>
          <t>2026-09-11</t>
        </is>
      </c>
      <c r="P122" s="47" t="inlineStr">
        <is>
          <t>уточнить</t>
        </is>
      </c>
      <c r="Q122" s="1" t="inlineStr">
        <is>
          <t>Метраж — допущение; ПромЭл LSLTx 91 ₽/м</t>
        </is>
      </c>
    </row>
    <row r="123">
      <c r="A123" s="1" t="inlineStr">
        <is>
          <t>1_Ремонт</t>
        </is>
      </c>
      <c r="B123" s="1" t="n">
        <v>30</v>
      </c>
      <c r="C123" s="1" t="inlineStr">
        <is>
          <t>4. Электрика</t>
        </is>
      </c>
      <c r="D123" s="1" t="inlineStr">
        <is>
          <t>Кабель на доделку линий</t>
        </is>
      </c>
      <c r="E123" s="1" t="inlineStr">
        <is>
          <t>компл</t>
        </is>
      </c>
      <c r="F123" s="1" t="inlineStr">
        <is>
          <t>СРЕД</t>
        </is>
      </c>
      <c r="G123" s="1" t="inlineStr">
        <is>
          <t>50 м 3×2,5 (97,5 ₽/м) + 20 м 3×1,5 (103 ₽/м)</t>
        </is>
      </c>
      <c r="H123" s="43" t="n">
        <v>6936</v>
      </c>
      <c r="I123" s="43" t="n">
        <v>6000</v>
      </c>
      <c r="J123" s="44" t="n">
        <v>15.6</v>
      </c>
      <c r="K123" s="1" t="inlineStr">
        <is>
          <t>Русский Свет (rs24)</t>
        </is>
      </c>
      <c r="L123" s="1" t="inlineStr">
        <is>
          <t>доставка в Саратов</t>
        </is>
      </c>
      <c r="M123" s="45" t="inlineStr">
        <is>
          <t>https://rs24.ru/product/19851</t>
        </is>
      </c>
      <c r="N123" s="1" t="inlineStr">
        <is>
          <t>сниппет</t>
        </is>
      </c>
      <c r="O123" s="1" t="inlineStr">
        <is>
          <t>2026-09-11</t>
        </is>
      </c>
      <c r="P123" s="47" t="inlineStr">
        <is>
          <t>уточнить</t>
        </is>
      </c>
      <c r="Q123" s="1" t="inlineStr">
        <is>
          <t>Метраж — допущение; 3×1,5 из уп.100 м 10 302,9 ₽ https://rs24.ru/product/2962068</t>
        </is>
      </c>
    </row>
    <row r="124">
      <c r="A124" s="1" t="inlineStr">
        <is>
          <t>1_Ремонт</t>
        </is>
      </c>
      <c r="B124" s="1" t="n">
        <v>30</v>
      </c>
      <c r="C124" s="1" t="inlineStr">
        <is>
          <t>4. Электрика</t>
        </is>
      </c>
      <c r="D124" s="1" t="inlineStr">
        <is>
          <t>Кабель на доделку линий</t>
        </is>
      </c>
      <c r="E124" s="1" t="inlineStr">
        <is>
          <t>компл</t>
        </is>
      </c>
      <c r="F124" s="1" t="inlineStr">
        <is>
          <t>СРЕД</t>
        </is>
      </c>
      <c r="G124" s="1" t="inlineStr">
        <is>
          <t>50 м ВВГнг 3×2,5 (115 ₽/м, отрез любой длины) — МегаVольт, ул. Челюскинцев 77</t>
        </is>
      </c>
      <c r="H124" s="43" t="n">
        <v>5750</v>
      </c>
      <c r="I124" s="43" t="n">
        <v>6000</v>
      </c>
      <c r="J124" s="44" t="n">
        <v>-4.2</v>
      </c>
      <c r="K124" s="1" t="inlineStr">
        <is>
          <t>МегаVольт (volt64.ru) Саратов</t>
        </is>
      </c>
      <c r="L124" s="1" t="inlineStr">
        <is>
          <t>Саратов</t>
        </is>
      </c>
      <c r="M124" s="45" t="inlineStr">
        <is>
          <t>https://www.volt64.ru/el/provod-i-kabel/silovoy-kabel-vvg-vvgng-vvgng-ls</t>
        </is>
      </c>
      <c r="N124" s="1" t="inlineStr">
        <is>
          <t>страница</t>
        </is>
      </c>
      <c r="O124" s="1" t="inlineStr">
        <is>
          <t>2026-09-11</t>
        </is>
      </c>
      <c r="P124" s="47" t="inlineStr">
        <is>
          <t>уточнить</t>
        </is>
      </c>
      <c r="Q124" s="1" t="inlineStr">
        <is>
          <t>Саратовский магазин; на странице ВВГнг (без LS) 3×1,5 90 ₽/м, 3×2,5 115 ₽/м; метраж — допущение</t>
        </is>
      </c>
    </row>
    <row r="125">
      <c r="A125" s="1" t="inlineStr">
        <is>
          <t>1_Ремонт</t>
        </is>
      </c>
      <c r="B125" s="1" t="n">
        <v>30</v>
      </c>
      <c r="C125" s="1" t="inlineStr">
        <is>
          <t>4. Электрика</t>
        </is>
      </c>
      <c r="D125" s="1" t="inlineStr">
        <is>
          <t>Кабель на доделку линий</t>
        </is>
      </c>
      <c r="E125" s="1" t="inlineStr">
        <is>
          <t>компл</t>
        </is>
      </c>
      <c r="F125" s="1" t="inlineStr">
        <is>
          <t>МАКС</t>
        </is>
      </c>
      <c r="G125" s="1" t="inlineStr">
        <is>
          <t>100 м ВВГнг(А)-LS 3×2,5 (97,5 ₽/м)</t>
        </is>
      </c>
      <c r="H125" s="43" t="n">
        <v>9750</v>
      </c>
      <c r="I125" s="43" t="n">
        <v>10000</v>
      </c>
      <c r="J125" s="44" t="n">
        <v>-2.5</v>
      </c>
      <c r="K125" s="1" t="inlineStr">
        <is>
          <t>Русский Свет (rs24)</t>
        </is>
      </c>
      <c r="L125" s="1" t="inlineStr">
        <is>
          <t>доставка в Саратов</t>
        </is>
      </c>
      <c r="M125" s="45" t="inlineStr">
        <is>
          <t>https://rs24.ru/product/19851</t>
        </is>
      </c>
      <c r="N125" s="1" t="inlineStr">
        <is>
          <t>сниппет</t>
        </is>
      </c>
      <c r="O125" s="1" t="inlineStr">
        <is>
          <t>2026-09-11</t>
        </is>
      </c>
      <c r="P125" s="47" t="inlineStr">
        <is>
          <t>уточнить</t>
        </is>
      </c>
      <c r="Q125" s="1" t="inlineStr">
        <is>
          <t>Метраж — допущение</t>
        </is>
      </c>
    </row>
    <row r="126">
      <c r="A126" s="1" t="inlineStr">
        <is>
          <t>1_Ремонт</t>
        </is>
      </c>
      <c r="B126" s="1" t="n">
        <v>30</v>
      </c>
      <c r="C126" s="1" t="inlineStr">
        <is>
          <t>4. Электрика</t>
        </is>
      </c>
      <c r="D126" s="1" t="inlineStr">
        <is>
          <t>Кабель на доделку линий</t>
        </is>
      </c>
      <c r="E126" s="1" t="inlineStr">
        <is>
          <t>компл</t>
        </is>
      </c>
      <c r="F126" s="1" t="inlineStr">
        <is>
          <t>ВСЕ</t>
        </is>
      </c>
      <c r="G126" s="1" t="inlineStr">
        <is>
          <t>Авито Саратов — поиск «Кабель на доделку линий» (новые товары магазинов и объявления)</t>
        </is>
      </c>
      <c r="H126" s="43" t="n"/>
      <c r="I126" s="43" t="n"/>
      <c r="J126" s="44" t="n"/>
      <c r="K126" s="1" t="inlineStr">
        <is>
          <t>Авито Саратов</t>
        </is>
      </c>
      <c r="L126" s="1" t="inlineStr">
        <is>
          <t>Саратов</t>
        </is>
      </c>
      <c r="M126" s="45" t="inlineStr">
        <is>
          <t>https://www.avito.ru/saratov?q=%D0%9A%D0%B0%D0%B1%D0%B5%D0%BB%D1%8C%20%D0%BD%D0%B0%20%D0%B4%D0%BE%D0%B4%D0%B5%D0%BB%D0%BA%D1%83%20%D0%BB%D0%B8%D0%BD%D0%B8%D0%B9</t>
        </is>
      </c>
      <c r="N126" s="1" t="inlineStr">
        <is>
          <t>не проверено</t>
        </is>
      </c>
      <c r="O126" s="1" t="inlineStr">
        <is>
          <t>2026-09-11</t>
        </is>
      </c>
      <c r="P126" s="47" t="inlineStr">
        <is>
          <t>уточнить</t>
        </is>
      </c>
      <c r="Q126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27">
      <c r="A127" s="1" t="inlineStr">
        <is>
          <t>1_Ремонт</t>
        </is>
      </c>
      <c r="B127" s="1" t="n">
        <v>31</v>
      </c>
      <c r="C127" s="1" t="inlineStr">
        <is>
          <t>4. Электрика</t>
        </is>
      </c>
      <c r="D127" s="1" t="inlineStr">
        <is>
          <t>Выделенная линия на электроварочную (ВВГнг 3×6 + автомат 32А + розетка 32А)</t>
        </is>
      </c>
      <c r="E127" s="1" t="inlineStr">
        <is>
          <t>компл</t>
        </is>
      </c>
      <c r="F127" s="1" t="inlineStr">
        <is>
          <t>МИН</t>
        </is>
      </c>
      <c r="G127" s="1" t="inlineStr">
        <is>
          <t>15 м ВВГнг(А)-LS 3×6 ЭТМ (261,92 ₽/м) + ВА47-29 1P C32 (199,58) + розетка 32А (от 245,93)</t>
        </is>
      </c>
      <c r="H127" s="43" t="n">
        <v>4374</v>
      </c>
      <c r="I127" s="43" t="n">
        <v>3500</v>
      </c>
      <c r="J127" s="44" t="n">
        <v>25</v>
      </c>
      <c r="K127" s="1" t="inlineStr">
        <is>
          <t>ЭТМ / Shop220 / Лемана ПРО</t>
        </is>
      </c>
      <c r="L127" s="1" t="inlineStr">
        <is>
          <t>доставка в Саратов</t>
        </is>
      </c>
      <c r="M127" s="45" t="inlineStr">
        <is>
          <t>https://www.etm.ru/cat/nn/5998471</t>
        </is>
      </c>
      <c r="N127" s="1" t="inlineStr">
        <is>
          <t>сниппет</t>
        </is>
      </c>
      <c r="O127" s="1" t="inlineStr">
        <is>
          <t>2026-09-11</t>
        </is>
      </c>
      <c r="P127" s="47" t="inlineStr">
        <is>
          <t>уточнить</t>
        </is>
      </c>
      <c r="Q127" s="1" t="inlineStr">
        <is>
          <t>Длина 15 м — допущение; автомат https://shop220.ru/mva20-1-032-c-avtomaticheskiy-vyklyuchatel-va47-29-1r-32a-45ka-harakteristika-s-iek.htm ; розетки 32А «от 245,93» https://lemanapro.ru/catalogue/silovye-rozetki-i-vilki/silovye-rozetki-32a/</t>
        </is>
      </c>
    </row>
    <row r="128">
      <c r="A128" s="1" t="inlineStr">
        <is>
          <t>1_Ремонт</t>
        </is>
      </c>
      <c r="B128" s="1" t="n">
        <v>31</v>
      </c>
      <c r="C128" s="1" t="inlineStr">
        <is>
          <t>4. Электрика</t>
        </is>
      </c>
      <c r="D128" s="1" t="inlineStr">
        <is>
          <t>Выделенная линия на электроварочную (ВВГнг 3×6 + автомат 32А + розетка 32А)</t>
        </is>
      </c>
      <c r="E128" s="1" t="inlineStr">
        <is>
          <t>компл</t>
        </is>
      </c>
      <c r="F128" s="1" t="inlineStr">
        <is>
          <t>СРЕД</t>
        </is>
      </c>
      <c r="G128" s="1" t="inlineStr">
        <is>
          <t>15 м ВВГнг(А)-LS 3×6 (269,47 ₽/м) + ВА47-29 C32 (300) + розетка 32А (245,93)</t>
        </is>
      </c>
      <c r="H128" s="43" t="n">
        <v>4588</v>
      </c>
      <c r="I128" s="43" t="n">
        <v>4500</v>
      </c>
      <c r="J128" s="44" t="n">
        <v>2</v>
      </c>
      <c r="K128" s="1" t="inlineStr">
        <is>
          <t>ЭТМ / el.ru / Лемана ПРО</t>
        </is>
      </c>
      <c r="L128" s="1" t="inlineStr">
        <is>
          <t>доставка в Саратов</t>
        </is>
      </c>
      <c r="M128" s="45" t="inlineStr">
        <is>
          <t>https://www.etm.ru/cat/nn/9727500</t>
        </is>
      </c>
      <c r="N128" s="1" t="inlineStr">
        <is>
          <t>сниппет</t>
        </is>
      </c>
      <c r="O128" s="1" t="inlineStr">
        <is>
          <t>2026-09-11</t>
        </is>
      </c>
      <c r="P128" s="47" t="inlineStr">
        <is>
          <t>уточнить</t>
        </is>
      </c>
      <c r="Q128" s="1" t="inlineStr">
        <is>
          <t>Длина — допущение; цена кабеля 3×6 по сниппетам 261,92–335 ₽/м</t>
        </is>
      </c>
    </row>
    <row r="129">
      <c r="A129" s="1" t="inlineStr">
        <is>
          <t>1_Ремонт</t>
        </is>
      </c>
      <c r="B129" s="1" t="n">
        <v>31</v>
      </c>
      <c r="C129" s="1" t="inlineStr">
        <is>
          <t>4. Электрика</t>
        </is>
      </c>
      <c r="D129" s="1" t="inlineStr">
        <is>
          <t>Выделенная линия на электроварочную (ВВГнг 3×6 + автомат 32А + розетка 32А)</t>
        </is>
      </c>
      <c r="E129" s="1" t="inlineStr">
        <is>
          <t>компл</t>
        </is>
      </c>
      <c r="F129" s="1" t="inlineStr">
        <is>
          <t>СРЕД</t>
        </is>
      </c>
      <c r="G129" s="1" t="inlineStr">
        <is>
          <t>15 м ВВГнг-LS 3×6 (280 ₽/м, МегаVольт Саратов) + ВА47-29 C32 (199,58) + розетка 32А (245,93)</t>
        </is>
      </c>
      <c r="H129" s="43" t="n">
        <v>4645</v>
      </c>
      <c r="I129" s="43" t="n">
        <v>4500</v>
      </c>
      <c r="J129" s="44" t="n">
        <v>3.2</v>
      </c>
      <c r="K129" s="1" t="inlineStr">
        <is>
          <t>МегаVольт (volt64.ru) Саратов + Shop220 + Лемана ПРО</t>
        </is>
      </c>
      <c r="L129" s="1" t="inlineStr">
        <is>
          <t>Саратов</t>
        </is>
      </c>
      <c r="M129" s="45" t="inlineStr">
        <is>
          <t>https://www.volt64.ru/el/provod-i-kabel/silovoy-kabel-vvg-vvgng-vvgng-ls</t>
        </is>
      </c>
      <c r="N129" s="1" t="inlineStr">
        <is>
          <t>страница</t>
        </is>
      </c>
      <c r="O129" s="1" t="inlineStr">
        <is>
          <t>2026-09-11</t>
        </is>
      </c>
      <c r="P129" s="47" t="inlineStr">
        <is>
          <t>уточнить</t>
        </is>
      </c>
      <c r="Q129" s="1" t="inlineStr">
        <is>
          <t>Кабель — саратовская цена со страницы; автомат и розетка — сниппеты; длина 15 м — допущение</t>
        </is>
      </c>
    </row>
    <row r="130">
      <c r="A130" s="1" t="inlineStr">
        <is>
          <t>1_Ремонт</t>
        </is>
      </c>
      <c r="B130" s="1" t="n">
        <v>31</v>
      </c>
      <c r="C130" s="1" t="inlineStr">
        <is>
          <t>4. Электрика</t>
        </is>
      </c>
      <c r="D130" s="1" t="inlineStr">
        <is>
          <t>Выделенная линия на электроварочную (ВВГнг 3×6 + автомат 32А + розетка 32А)</t>
        </is>
      </c>
      <c r="E130" s="1" t="inlineStr">
        <is>
          <t>компл</t>
        </is>
      </c>
      <c r="F130" s="1" t="inlineStr">
        <is>
          <t>МАКС</t>
        </is>
      </c>
      <c r="G130" s="1" t="inlineStr">
        <is>
          <t>ВВГнг(А)-LS 3×6 (335 ₽/м) + ABB S201 C32 + силовая розетка 32А</t>
        </is>
      </c>
      <c r="H130" s="43" t="n"/>
      <c r="I130" s="43" t="n">
        <v>6000</v>
      </c>
      <c r="J130" s="44" t="n"/>
      <c r="K130" s="1" t="inlineStr">
        <is>
          <t>ЭТМ / Лемана ПРО</t>
        </is>
      </c>
      <c r="L130" s="1" t="inlineStr">
        <is>
          <t>доставка в Саратов</t>
        </is>
      </c>
      <c r="M130" s="45" t="inlineStr">
        <is>
          <t>https://www.etm.ru/cat/nn/3215899</t>
        </is>
      </c>
      <c r="N130" s="1" t="inlineStr">
        <is>
          <t>сниппет</t>
        </is>
      </c>
      <c r="O130" s="1" t="inlineStr">
        <is>
          <t>2026-09-11</t>
        </is>
      </c>
      <c r="P130" s="47" t="inlineStr">
        <is>
          <t>уточнить</t>
        </is>
      </c>
      <c r="Q130" s="1" t="inlineStr">
        <is>
          <t>ABB S201 C32 не найден (C16 594 ₽ в Лемана Москва); сумма не собирается</t>
        </is>
      </c>
    </row>
    <row r="131">
      <c r="A131" s="1" t="inlineStr">
        <is>
          <t>1_Ремонт</t>
        </is>
      </c>
      <c r="B131" s="1" t="n">
        <v>31</v>
      </c>
      <c r="C131" s="1" t="inlineStr">
        <is>
          <t>4. Электрика</t>
        </is>
      </c>
      <c r="D131" s="1" t="inlineStr">
        <is>
          <t>Выделенная линия на электроварочную (ВВГнг 3×6 + автомат 32А + розетка 32А)</t>
        </is>
      </c>
      <c r="E131" s="1" t="inlineStr">
        <is>
          <t>компл</t>
        </is>
      </c>
      <c r="F131" s="1" t="inlineStr">
        <is>
          <t>ВСЕ</t>
        </is>
      </c>
      <c r="G131" s="1" t="inlineStr">
        <is>
          <t>Авито Саратов — поиск «Выделенная линия на электроварочную» (новые товары магазинов и объявления)</t>
        </is>
      </c>
      <c r="H131" s="43" t="n"/>
      <c r="I131" s="43" t="n"/>
      <c r="J131" s="44" t="n"/>
      <c r="K131" s="1" t="inlineStr">
        <is>
          <t>Авито Саратов</t>
        </is>
      </c>
      <c r="L131" s="1" t="inlineStr">
        <is>
          <t>Саратов</t>
        </is>
      </c>
      <c r="M131" s="45" t="inlineStr">
        <is>
          <t>https://www.avito.ru/saratov?q=%D0%92%D1%8B%D0%B4%D0%B5%D0%BB%D0%B5%D0%BD%D0%BD%D0%B0%D1%8F%20%D0%BB%D0%B8%D0%BD%D0%B8%D1%8F%20%D0%BD%D0%B0%20%D1%8D%D0%BB%D0%B5%D0%BA%D1%82%D1%80%D0%BE%D0%B2%D0%B0%D1%80%D0%BE%D1%87%D0%BD%D1%83%D1%8E</t>
        </is>
      </c>
      <c r="N131" s="1" t="inlineStr">
        <is>
          <t>не проверено</t>
        </is>
      </c>
      <c r="O131" s="1" t="inlineStr">
        <is>
          <t>2026-09-11</t>
        </is>
      </c>
      <c r="P131" s="47" t="inlineStr">
        <is>
          <t>уточнить</t>
        </is>
      </c>
      <c r="Q13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32">
      <c r="A132" s="1" t="inlineStr">
        <is>
          <t>1_Ремонт</t>
        </is>
      </c>
      <c r="B132" s="1" t="n">
        <v>32</v>
      </c>
      <c r="C132" s="1" t="inlineStr">
        <is>
          <t>5. Стены</t>
        </is>
      </c>
      <c r="D132" s="1" t="inlineStr">
        <is>
          <t>Обои</t>
        </is>
      </c>
      <c r="E132" s="1" t="inlineStr">
        <is>
          <t>м²</t>
        </is>
      </c>
      <c r="F132" s="1" t="inlineStr">
        <is>
          <t>МИН</t>
        </is>
      </c>
      <c r="G132" s="1" t="inlineStr">
        <is>
          <t>Erismann Light 4 60271-06 флизелин 1.06 м (1 545 ₽/рулон 10,65 м²)</t>
        </is>
      </c>
      <c r="H132" s="43" t="n">
        <v>145</v>
      </c>
      <c r="I132" s="43" t="n">
        <v>200</v>
      </c>
      <c r="J132" s="44" t="n">
        <v>-27.5</v>
      </c>
      <c r="K132" s="1" t="inlineStr">
        <is>
          <t>Лемана ПРО (Москва-сайт)</t>
        </is>
      </c>
      <c r="L132" s="1" t="inlineStr">
        <is>
          <t>доставка в Саратов</t>
        </is>
      </c>
      <c r="M132" s="45" t="inlineStr">
        <is>
          <t>https://lemanapro.ru/product/oboi-flizelinovye-erismann-light-4-serye-106-m-60271-06-82738671/</t>
        </is>
      </c>
      <c r="N132" s="1" t="inlineStr">
        <is>
          <t>сниппет</t>
        </is>
      </c>
      <c r="O132" s="1" t="inlineStr">
        <is>
          <t>2026-09-11</t>
        </is>
      </c>
      <c r="P132" s="46" t="inlineStr">
        <is>
          <t>ок</t>
        </is>
      </c>
      <c r="Q132" s="1" t="inlineStr">
        <is>
          <t>Тот же артикул в Клину — 2 136 ₽/рулон (201 ₽/м²); категория Лемана «винил на флизелине от 173 ₽»; Саратов 401</t>
        </is>
      </c>
    </row>
    <row r="133">
      <c r="A133" s="1" t="inlineStr">
        <is>
          <t>1_Ремонт</t>
        </is>
      </c>
      <c r="B133" s="1" t="n">
        <v>32</v>
      </c>
      <c r="C133" s="1" t="inlineStr">
        <is>
          <t>5. Стены</t>
        </is>
      </c>
      <c r="D133" s="1" t="inlineStr">
        <is>
          <t>Обои</t>
        </is>
      </c>
      <c r="E133" s="1" t="inlineStr">
        <is>
          <t>м²</t>
        </is>
      </c>
      <c r="F133" s="1" t="inlineStr">
        <is>
          <t>СРЕД</t>
        </is>
      </c>
      <c r="G133" s="1" t="inlineStr">
        <is>
          <t>Marburg Botanica 33004 флизелин 1.06×10.05 (4 300 ₽/рулон)</t>
        </is>
      </c>
      <c r="H133" s="43" t="n">
        <v>404</v>
      </c>
      <c r="I133" s="43" t="n">
        <v>450</v>
      </c>
      <c r="J133" s="44" t="n">
        <v>-10.2</v>
      </c>
      <c r="K133" s="1" t="inlineStr">
        <is>
          <t>Обойкин</t>
        </is>
      </c>
      <c r="L133" s="1" t="inlineStr">
        <is>
          <t>доставка в Саратов</t>
        </is>
      </c>
      <c r="M133" s="45" t="inlineStr">
        <is>
          <t>https://www.oboykin.ru/catalog/germany/marburg/botanica/33004/</t>
        </is>
      </c>
      <c r="N133" s="1" t="inlineStr">
        <is>
          <t>сниппет</t>
        </is>
      </c>
      <c r="O133" s="1" t="inlineStr">
        <is>
          <t>2026-09-11</t>
        </is>
      </c>
      <c r="P133" s="46" t="inlineStr">
        <is>
          <t>ок</t>
        </is>
      </c>
      <c r="Q133" s="1" t="inlineStr">
        <is>
          <t>Erismann Exclusive 60151-05 — 1 790 ₽/рулон = 168 ₽/м² (Лемана, сниппет)</t>
        </is>
      </c>
    </row>
    <row r="134">
      <c r="A134" s="1" t="inlineStr">
        <is>
          <t>1_Ремонт</t>
        </is>
      </c>
      <c r="B134" s="1" t="n">
        <v>32</v>
      </c>
      <c r="C134" s="1" t="inlineStr">
        <is>
          <t>5. Стены</t>
        </is>
      </c>
      <c r="D134" s="1" t="inlineStr">
        <is>
          <t>Обои</t>
        </is>
      </c>
      <c r="E134" s="1" t="inlineStr">
        <is>
          <t>м²</t>
        </is>
      </c>
      <c r="F134" s="1" t="inlineStr">
        <is>
          <t>МАКС</t>
        </is>
      </c>
      <c r="G134" s="1" t="inlineStr">
        <is>
          <t>Marburg Patent Decor флизелин 1.06×10.05 (5 790 ₽/рулон)</t>
        </is>
      </c>
      <c r="H134" s="43" t="n">
        <v>544</v>
      </c>
      <c r="I134" s="43" t="n">
        <v>1200</v>
      </c>
      <c r="J134" s="48" t="n">
        <v>-54.7</v>
      </c>
      <c r="K134" s="1" t="inlineStr">
        <is>
          <t>Интерьерус</t>
        </is>
      </c>
      <c r="L134" s="1" t="inlineStr">
        <is>
          <t>доставка в Саратов</t>
        </is>
      </c>
      <c r="M134" s="45" t="inlineStr">
        <is>
          <t>https://interyerus.ru/oboi/f/brand-marburg/material-flizelin/</t>
        </is>
      </c>
      <c r="N134" s="1" t="inlineStr">
        <is>
          <t>сниппет</t>
        </is>
      </c>
      <c r="O134" s="1" t="inlineStr">
        <is>
          <t>2026-09-11</t>
        </is>
      </c>
      <c r="P134" s="46" t="inlineStr">
        <is>
          <t>ок</t>
        </is>
      </c>
      <c r="Q134" s="1" t="inlineStr">
        <is>
          <t>Дизайнерских/текстильных по 1 200 ₽/м² в проверенных источниках не найдено; панно Decoracion 1 м — 7 820 ₽ (Лемана)</t>
        </is>
      </c>
    </row>
    <row r="135">
      <c r="A135" s="1" t="inlineStr">
        <is>
          <t>1_Ремонт</t>
        </is>
      </c>
      <c r="B135" s="1" t="n">
        <v>32</v>
      </c>
      <c r="C135" s="1" t="inlineStr">
        <is>
          <t>5. Стены</t>
        </is>
      </c>
      <c r="D135" s="1" t="inlineStr">
        <is>
          <t>Обои</t>
        </is>
      </c>
      <c r="E135" s="1" t="inlineStr">
        <is>
          <t>м²</t>
        </is>
      </c>
      <c r="F135" s="1" t="inlineStr">
        <is>
          <t>ВСЕ</t>
        </is>
      </c>
      <c r="G135" s="1" t="inlineStr">
        <is>
          <t>Авито Саратов — поиск «Обои» (новые товары магазинов и объявления)</t>
        </is>
      </c>
      <c r="H135" s="43" t="n"/>
      <c r="I135" s="43" t="n"/>
      <c r="J135" s="44" t="n"/>
      <c r="K135" s="1" t="inlineStr">
        <is>
          <t>Авито Саратов</t>
        </is>
      </c>
      <c r="L135" s="1" t="inlineStr">
        <is>
          <t>Саратов</t>
        </is>
      </c>
      <c r="M135" s="45" t="inlineStr">
        <is>
          <t>https://www.avito.ru/saratov?q=%D0%9E%D0%B1%D0%BE%D0%B8</t>
        </is>
      </c>
      <c r="N135" s="1" t="inlineStr">
        <is>
          <t>не проверено</t>
        </is>
      </c>
      <c r="O135" s="1" t="inlineStr">
        <is>
          <t>2026-09-11</t>
        </is>
      </c>
      <c r="P135" s="47" t="inlineStr">
        <is>
          <t>уточнить</t>
        </is>
      </c>
      <c r="Q13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36">
      <c r="A136" s="1" t="inlineStr">
        <is>
          <t>1_Ремонт</t>
        </is>
      </c>
      <c r="B136" s="1" t="n">
        <v>33</v>
      </c>
      <c r="C136" s="1" t="inlineStr">
        <is>
          <t>5. Стены</t>
        </is>
      </c>
      <c r="D136" s="1" t="inlineStr">
        <is>
          <t>Клей, грунт, малярные расходники</t>
        </is>
      </c>
      <c r="E136" s="1" t="inlineStr">
        <is>
          <t>компл</t>
        </is>
      </c>
      <c r="F136" s="1" t="inlineStr">
        <is>
          <t>МИН</t>
        </is>
      </c>
      <c r="G136" s="1" t="inlineStr">
        <is>
          <t>Клей Kleo флизелин 0.4 кг (58 м²) ×3 + грунт Ceresit CT17 5 л + валики/кисти</t>
        </is>
      </c>
      <c r="H136" s="43" t="n"/>
      <c r="I136" s="43" t="n">
        <v>4000</v>
      </c>
      <c r="J136" s="44" t="n"/>
      <c r="K136" s="1" t="inlineStr">
        <is>
          <t>Лемана ПРО Саратов</t>
        </is>
      </c>
      <c r="L136" s="1" t="inlineStr">
        <is>
          <t>Саратов</t>
        </is>
      </c>
      <c r="M136" s="45" t="inlineStr">
        <is>
          <t>https://saratov.lemanapro.ru/catalogue/kley-dlya-oboev/flizelinovye/</t>
        </is>
      </c>
      <c r="N136" s="1" t="inlineStr">
        <is>
          <t>сниппет</t>
        </is>
      </c>
      <c r="O136" s="1" t="inlineStr">
        <is>
          <t>2026-09-11</t>
        </is>
      </c>
      <c r="P136" s="47" t="inlineStr">
        <is>
          <t>уточнить</t>
        </is>
      </c>
      <c r="Q136" s="1" t="inlineStr">
        <is>
          <t>Компоненты по сниппетам: Kleo 0.4 кг — 796 ₽ (Хабаровск), CT17 5 л — 784 ₽ (Москва); сумма комплекта не считалась</t>
        </is>
      </c>
    </row>
    <row r="137">
      <c r="A137" s="1" t="inlineStr">
        <is>
          <t>1_Ремонт</t>
        </is>
      </c>
      <c r="B137" s="1" t="n">
        <v>33</v>
      </c>
      <c r="C137" s="1" t="inlineStr">
        <is>
          <t>5. Стены</t>
        </is>
      </c>
      <c r="D137" s="1" t="inlineStr">
        <is>
          <t>Клей, грунт, малярные расходники</t>
        </is>
      </c>
      <c r="E137" s="1" t="inlineStr">
        <is>
          <t>компл</t>
        </is>
      </c>
      <c r="F137" s="1" t="inlineStr">
        <is>
          <t>СРЕД</t>
        </is>
      </c>
      <c r="G137" s="1" t="inlineStr">
        <is>
          <t>Клей Metylan Флизелин Экстра Комфорт (54 м²) ×3 + CT17 10 л + инструмент</t>
        </is>
      </c>
      <c r="H137" s="43" t="n"/>
      <c r="I137" s="43" t="n">
        <v>7000</v>
      </c>
      <c r="J137" s="44" t="n"/>
      <c r="K137" s="1" t="inlineStr">
        <is>
          <t>Лемана ПРО Саратов</t>
        </is>
      </c>
      <c r="L137" s="1" t="inlineStr">
        <is>
          <t>Саратов</t>
        </is>
      </c>
      <c r="M137" s="45" t="inlineStr">
        <is>
          <t>https://saratov.lemanapro.ru/product/kley-dlya-flizelinovyh-oboev-metylan-flizelin-ekstra-komfort-s-indikatorom-54-m-88893764/</t>
        </is>
      </c>
      <c r="N137" s="1" t="inlineStr">
        <is>
          <t>сниппет</t>
        </is>
      </c>
      <c r="O137" s="1" t="inlineStr">
        <is>
          <t>2026-09-11</t>
        </is>
      </c>
      <c r="P137" s="47" t="inlineStr">
        <is>
          <t>уточнить</t>
        </is>
      </c>
      <c r="Q137" s="1" t="inlineStr">
        <is>
          <t>CT17 10 л — 1 176 ₽ (Москва, сниппет); цена Metylan не показана</t>
        </is>
      </c>
    </row>
    <row r="138">
      <c r="A138" s="1" t="inlineStr">
        <is>
          <t>1_Ремонт</t>
        </is>
      </c>
      <c r="B138" s="1" t="n">
        <v>33</v>
      </c>
      <c r="C138" s="1" t="inlineStr">
        <is>
          <t>5. Стены</t>
        </is>
      </c>
      <c r="D138" s="1" t="inlineStr">
        <is>
          <t>Клей, грунт, малярные расходники</t>
        </is>
      </c>
      <c r="E138" s="1" t="inlineStr">
        <is>
          <t>компл</t>
        </is>
      </c>
      <c r="F138" s="1" t="inlineStr">
        <is>
          <t>МАКС</t>
        </is>
      </c>
      <c r="G138" s="1" t="inlineStr">
        <is>
          <t>Клей Quelyd/Metylan Premium + грунт + профинструмент</t>
        </is>
      </c>
      <c r="H138" s="43" t="n"/>
      <c r="I138" s="43" t="n">
        <v>12000</v>
      </c>
      <c r="J138" s="44" t="n"/>
      <c r="K138" s="1" t="inlineStr">
        <is>
          <t>Лемана ПРО Саратов</t>
        </is>
      </c>
      <c r="L138" s="1" t="inlineStr">
        <is>
          <t>Саратов</t>
        </is>
      </c>
      <c r="M138" s="45" t="inlineStr">
        <is>
          <t>https://saratov.lemanapro.ru/catalogue/kley-dlya-oboev/flizelinovye/</t>
        </is>
      </c>
      <c r="N138" s="1" t="inlineStr">
        <is>
          <t>не проверено</t>
        </is>
      </c>
      <c r="O138" s="1" t="inlineStr">
        <is>
          <t>2026-09-11</t>
        </is>
      </c>
      <c r="P138" s="47" t="inlineStr">
        <is>
          <t>уточнить</t>
        </is>
      </c>
      <c r="Q138" s="1" t="inlineStr">
        <is>
          <t>Цены не показаны</t>
        </is>
      </c>
    </row>
    <row r="139">
      <c r="A139" s="1" t="inlineStr">
        <is>
          <t>1_Ремонт</t>
        </is>
      </c>
      <c r="B139" s="1" t="n">
        <v>33</v>
      </c>
      <c r="C139" s="1" t="inlineStr">
        <is>
          <t>5. Стены</t>
        </is>
      </c>
      <c r="D139" s="1" t="inlineStr">
        <is>
          <t>Клей, грунт, малярные расходники</t>
        </is>
      </c>
      <c r="E139" s="1" t="inlineStr">
        <is>
          <t>компл</t>
        </is>
      </c>
      <c r="F139" s="1" t="inlineStr">
        <is>
          <t>ВСЕ</t>
        </is>
      </c>
      <c r="G139" s="1" t="inlineStr">
        <is>
          <t>Авито Саратов — поиск «Клей, грунт, малярные расходники» (новые товары магазинов и объявления)</t>
        </is>
      </c>
      <c r="H139" s="43" t="n"/>
      <c r="I139" s="43" t="n"/>
      <c r="J139" s="44" t="n"/>
      <c r="K139" s="1" t="inlineStr">
        <is>
          <t>Авито Саратов</t>
        </is>
      </c>
      <c r="L139" s="1" t="inlineStr">
        <is>
          <t>Саратов</t>
        </is>
      </c>
      <c r="M139" s="45" t="inlineStr">
        <is>
          <t>https://www.avito.ru/saratov?q=%D0%9A%D0%BB%D0%B5%D0%B9%2C%20%D0%B3%D1%80%D1%83%D0%BD%D1%82%2C%20%D0%BC%D0%B0%D0%BB%D1%8F%D1%80%D0%BD%D1%8B%D0%B5%20%D1%80%D0%B0%D1%81%D1%85%D0%BE%D0%B4%D0%BD%D0%B8%D0%BA%D0%B8</t>
        </is>
      </c>
      <c r="N139" s="1" t="inlineStr">
        <is>
          <t>не проверено</t>
        </is>
      </c>
      <c r="O139" s="1" t="inlineStr">
        <is>
          <t>2026-09-11</t>
        </is>
      </c>
      <c r="P139" s="47" t="inlineStr">
        <is>
          <t>уточнить</t>
        </is>
      </c>
      <c r="Q13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40">
      <c r="A140" s="1" t="inlineStr">
        <is>
          <t>1_Ремонт</t>
        </is>
      </c>
      <c r="B140" s="1" t="n">
        <v>34</v>
      </c>
      <c r="C140" s="1" t="inlineStr">
        <is>
          <t>5. Стены</t>
        </is>
      </c>
      <c r="D140" s="1" t="inlineStr">
        <is>
          <t>Акцентная стена (краска/панели/декоративка) — зал и детская</t>
        </is>
      </c>
      <c r="E140" s="1" t="inlineStr">
        <is>
          <t>компл</t>
        </is>
      </c>
      <c r="F140" s="1" t="inlineStr">
        <is>
          <t>МИН</t>
        </is>
      </c>
      <c r="G140" s="1" t="inlineStr">
        <is>
          <t>Не делаем</t>
        </is>
      </c>
      <c r="H140" s="43" t="n">
        <v>0</v>
      </c>
      <c r="I140" s="43" t="n">
        <v>0</v>
      </c>
      <c r="J140" s="44" t="n">
        <v>0</v>
      </c>
      <c r="K140" s="1" t="inlineStr">
        <is>
          <t>—</t>
        </is>
      </c>
      <c r="L140" s="1" t="inlineStr">
        <is>
          <t>—</t>
        </is>
      </c>
      <c r="M140" s="1" t="inlineStr"/>
      <c r="N140" s="1" t="inlineStr">
        <is>
          <t>не проверено</t>
        </is>
      </c>
      <c r="O140" s="1" t="inlineStr">
        <is>
          <t>2026-09-11</t>
        </is>
      </c>
      <c r="P140" s="46" t="inlineStr">
        <is>
          <t>ок</t>
        </is>
      </c>
      <c r="Q140" s="1" t="inlineStr">
        <is>
          <t>По смете в МИН не делаем</t>
        </is>
      </c>
    </row>
    <row r="141">
      <c r="A141" s="1" t="inlineStr">
        <is>
          <t>1_Ремонт</t>
        </is>
      </c>
      <c r="B141" s="1" t="n">
        <v>34</v>
      </c>
      <c r="C141" s="1" t="inlineStr">
        <is>
          <t>5. Стены</t>
        </is>
      </c>
      <c r="D141" s="1" t="inlineStr">
        <is>
          <t>Акцентная стена (краска/панели/декоративка) — зал и детская</t>
        </is>
      </c>
      <c r="E141" s="1" t="inlineStr">
        <is>
          <t>компл</t>
        </is>
      </c>
      <c r="F141" s="1" t="inlineStr">
        <is>
          <t>СРЕД</t>
        </is>
      </c>
      <c r="G141" s="1" t="inlineStr">
        <is>
          <t>Краска Dulux Classic Colour 9 л + рейки МДФ 2,7 м</t>
        </is>
      </c>
      <c r="H141" s="43" t="n"/>
      <c r="I141" s="43" t="n">
        <v>15000</v>
      </c>
      <c r="J141" s="44" t="n"/>
      <c r="K141" s="1" t="inlineStr">
        <is>
          <t>Лемана ПРО Саратов</t>
        </is>
      </c>
      <c r="L141" s="1" t="inlineStr">
        <is>
          <t>Саратов</t>
        </is>
      </c>
      <c r="M141" s="45" t="inlineStr">
        <is>
          <t>https://saratov.lemanapro.ru/catalogue/paneli-mdf/reyki-mdf/</t>
        </is>
      </c>
      <c r="N141" s="1" t="inlineStr">
        <is>
          <t>сниппет</t>
        </is>
      </c>
      <c r="O141" s="1" t="inlineStr">
        <is>
          <t>2026-09-11</t>
        </is>
      </c>
      <c r="P141" s="47" t="inlineStr">
        <is>
          <t>уточнить</t>
        </is>
      </c>
      <c r="Q141" s="1" t="inlineStr">
        <is>
          <t>Dulux Classic Colour 9 л — 6 196 ₽ (Москва, сниппет); рейки МДФ «от 57 ₽/шт» (категория); комплект не считался</t>
        </is>
      </c>
    </row>
    <row r="142">
      <c r="A142" s="1" t="inlineStr">
        <is>
          <t>1_Ремонт</t>
        </is>
      </c>
      <c r="B142" s="1" t="n">
        <v>34</v>
      </c>
      <c r="C142" s="1" t="inlineStr">
        <is>
          <t>5. Стены</t>
        </is>
      </c>
      <c r="D142" s="1" t="inlineStr">
        <is>
          <t>Акцентная стена (краска/панели/декоративка) — зал и детская</t>
        </is>
      </c>
      <c r="E142" s="1" t="inlineStr">
        <is>
          <t>компл</t>
        </is>
      </c>
      <c r="F142" s="1" t="inlineStr">
        <is>
          <t>МАКС</t>
        </is>
      </c>
      <c r="G142" s="1" t="inlineStr">
        <is>
          <t>Микроцемент / панели с работой</t>
        </is>
      </c>
      <c r="H142" s="43" t="n"/>
      <c r="I142" s="43" t="n">
        <v>60000</v>
      </c>
      <c r="J142" s="44" t="n"/>
      <c r="K142" s="1" t="inlineStr">
        <is>
          <t>Студии микроцемента (Москва-сайты)</t>
        </is>
      </c>
      <c r="L142" s="1" t="inlineStr">
        <is>
          <t>доставка в Саратов</t>
        </is>
      </c>
      <c r="M142" s="45" t="inlineStr">
        <is>
          <t>https://microcement-pol.ru/tsenyi/stena-iz-mikrocementa-cena-za-m2</t>
        </is>
      </c>
      <c r="N142" s="1" t="inlineStr">
        <is>
          <t>сниппет</t>
        </is>
      </c>
      <c r="O142" s="1" t="inlineStr">
        <is>
          <t>2026-09-11</t>
        </is>
      </c>
      <c r="P142" s="47" t="inlineStr">
        <is>
          <t>уточнить</t>
        </is>
      </c>
      <c r="Q142" s="1" t="inlineStr">
        <is>
          <t>Ориентир 3 200–5 300 ₽/м² с работой (сниппеты, не Саратов); саратовских цен не найдено</t>
        </is>
      </c>
    </row>
    <row r="143">
      <c r="A143" s="1" t="inlineStr">
        <is>
          <t>1_Ремонт</t>
        </is>
      </c>
      <c r="B143" s="1" t="n">
        <v>34</v>
      </c>
      <c r="C143" s="1" t="inlineStr">
        <is>
          <t>5. Стены</t>
        </is>
      </c>
      <c r="D143" s="1" t="inlineStr">
        <is>
          <t>Акцентная стена (краска/панели/декоративка) — зал и детская</t>
        </is>
      </c>
      <c r="E143" s="1" t="inlineStr">
        <is>
          <t>компл</t>
        </is>
      </c>
      <c r="F143" s="1" t="inlineStr">
        <is>
          <t>ВСЕ</t>
        </is>
      </c>
      <c r="G143" s="1" t="inlineStr">
        <is>
          <t>Авито Саратов — поиск «Акцентная стена — зал и детская» (новые товары магазинов и объявления)</t>
        </is>
      </c>
      <c r="H143" s="43" t="n"/>
      <c r="I143" s="43" t="n"/>
      <c r="J143" s="44" t="n"/>
      <c r="K143" s="1" t="inlineStr">
        <is>
          <t>Авито Саратов</t>
        </is>
      </c>
      <c r="L143" s="1" t="inlineStr">
        <is>
          <t>Саратов</t>
        </is>
      </c>
      <c r="M143" s="45" t="inlineStr">
        <is>
          <t>https://www.avito.ru/saratov?q=%D0%90%D0%BA%D1%86%D0%B5%D0%BD%D1%82%D0%BD%D0%B0%D1%8F%20%D1%81%D1%82%D0%B5%D0%BD%D0%B0%20%E2%80%94%20%D0%B7%D0%B0%D0%BB%20%D0%B8%20%D0%B4%D0%B5%D1%82%D1%81%D0%BA%D0%B0%D1%8F</t>
        </is>
      </c>
      <c r="N143" s="1" t="inlineStr">
        <is>
          <t>не проверено</t>
        </is>
      </c>
      <c r="O143" s="1" t="inlineStr">
        <is>
          <t>2026-09-11</t>
        </is>
      </c>
      <c r="P143" s="47" t="inlineStr">
        <is>
          <t>уточнить</t>
        </is>
      </c>
      <c r="Q14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44">
      <c r="A144" s="1" t="inlineStr">
        <is>
          <t>1_Ремонт</t>
        </is>
      </c>
      <c r="B144" s="1" t="n">
        <v>35</v>
      </c>
      <c r="C144" s="1" t="inlineStr">
        <is>
          <t>6. Двери</t>
        </is>
      </c>
      <c r="D144" s="1" t="inlineStr">
        <is>
          <t>Дверь стандартная 800 мм: полотно + короб + наличники + ручка + петли</t>
        </is>
      </c>
      <c r="E144" s="1" t="inlineStr">
        <is>
          <t>шт</t>
        </is>
      </c>
      <c r="F144" s="1" t="inlineStr">
        <is>
          <t>МИН</t>
        </is>
      </c>
      <c r="G144" s="1" t="inlineStr">
        <is>
          <t>Artens Магнолия 80×200 ПВХ глухая (полотно + замок + петли)</t>
        </is>
      </c>
      <c r="H144" s="43" t="n">
        <v>9172</v>
      </c>
      <c r="I144" s="43" t="n">
        <v>8000</v>
      </c>
      <c r="J144" s="44" t="n">
        <v>14.6</v>
      </c>
      <c r="K144" s="1" t="inlineStr">
        <is>
          <t>Лемана ПРО (Москва-сайт)</t>
        </is>
      </c>
      <c r="L144" s="1" t="inlineStr">
        <is>
          <t>доставка в Саратов</t>
        </is>
      </c>
      <c r="M144" s="45" t="inlineStr">
        <is>
          <t>https://lemanapro.ru/product/dver-mezhkomnatnaya-gluhaya-artens-magnoliya-80x200-sm-pvh-cvet-akaciya-s-zamkom-i-petlyami-83851427/</t>
        </is>
      </c>
      <c r="N144" s="1" t="inlineStr">
        <is>
          <t>сниппет</t>
        </is>
      </c>
      <c r="O144" s="1" t="inlineStr">
        <is>
          <t>2026-09-11</t>
        </is>
      </c>
      <c r="P144" s="47" t="inlineStr">
        <is>
          <t>уточнить</t>
        </is>
      </c>
      <c r="Q144" s="1" t="inlineStr">
        <is>
          <t>Коробка и наличники докупаются отдельно — полный комплект дороже; Лемана Саратов 401; категория «ламинированные от 1 648 ₽»</t>
        </is>
      </c>
    </row>
    <row r="145">
      <c r="A145" s="1" t="inlineStr">
        <is>
          <t>1_Ремонт</t>
        </is>
      </c>
      <c r="B145" s="1" t="n">
        <v>35</v>
      </c>
      <c r="C145" s="1" t="inlineStr">
        <is>
          <t>6. Двери</t>
        </is>
      </c>
      <c r="D145" s="1" t="inlineStr">
        <is>
          <t>Дверь стандартная 800 мм: полотно + короб + наличники + ручка + петли</t>
        </is>
      </c>
      <c r="E145" s="1" t="inlineStr">
        <is>
          <t>шт</t>
        </is>
      </c>
      <c r="F145" s="1" t="inlineStr">
        <is>
          <t>СРЕД</t>
        </is>
      </c>
      <c r="G145" s="1" t="inlineStr">
        <is>
          <t>Эко-Древ НИКА-2 экошпон, сатинат (полотно)</t>
        </is>
      </c>
      <c r="H145" s="43" t="n">
        <v>3900</v>
      </c>
      <c r="I145" s="43" t="n">
        <v>18000</v>
      </c>
      <c r="J145" s="48" t="n">
        <v>-78.3</v>
      </c>
      <c r="K145" s="1" t="inlineStr">
        <is>
          <t>Строй Центр (Саратов)</t>
        </is>
      </c>
      <c r="L145" s="1" t="inlineStr">
        <is>
          <t>Саратов</t>
        </is>
      </c>
      <c r="M145" s="45" t="inlineStr">
        <is>
          <t>https://stroycenter64.ru/catalogue/dveri/mezhkomnatnye_dveri/ekoshpon/</t>
        </is>
      </c>
      <c r="N145" s="1" t="inlineStr">
        <is>
          <t>страница</t>
        </is>
      </c>
      <c r="O145" s="1" t="inlineStr">
        <is>
          <t>2026-09-11</t>
        </is>
      </c>
      <c r="P145" s="47" t="inlineStr">
        <is>
          <t>уточнить</t>
        </is>
      </c>
      <c r="Q145" s="1" t="inlineStr">
        <is>
          <t>Только полотно; короб+наличники+ручка+врезка отдельно; ALBERO Саратов экошпон от 5 440 ₽ (сниппет); Profilo Porte/Uberture в Саратове не найдены</t>
        </is>
      </c>
    </row>
    <row r="146">
      <c r="A146" s="1" t="inlineStr">
        <is>
          <t>1_Ремонт</t>
        </is>
      </c>
      <c r="B146" s="1" t="n">
        <v>35</v>
      </c>
      <c r="C146" s="1" t="inlineStr">
        <is>
          <t>6. Двери</t>
        </is>
      </c>
      <c r="D146" s="1" t="inlineStr">
        <is>
          <t>Дверь стандартная 800 мм: полотно + короб + наличники + ручка + петли</t>
        </is>
      </c>
      <c r="E146" s="1" t="inlineStr">
        <is>
          <t>шт</t>
        </is>
      </c>
      <c r="F146" s="1" t="inlineStr">
        <is>
          <t>МАКС</t>
        </is>
      </c>
      <c r="G146" s="1" t="inlineStr">
        <is>
          <t>ESTET Mantone 5 эмаль (полотно)</t>
        </is>
      </c>
      <c r="H146" s="43" t="n">
        <v>29725</v>
      </c>
      <c r="I146" s="43" t="n">
        <v>45000</v>
      </c>
      <c r="J146" s="48" t="n">
        <v>-33.9</v>
      </c>
      <c r="K146" s="1" t="inlineStr">
        <is>
          <t>Эстет Двери (Саратов)</t>
        </is>
      </c>
      <c r="L146" s="1" t="inlineStr">
        <is>
          <t>Саратов</t>
        </is>
      </c>
      <c r="M146" s="45" t="inlineStr">
        <is>
          <t>https://saratov.estetdveri.ru/catalog/mezhkomnatnye-dveri/</t>
        </is>
      </c>
      <c r="N146" s="1" t="inlineStr">
        <is>
          <t>страница</t>
        </is>
      </c>
      <c r="O146" s="1" t="inlineStr">
        <is>
          <t>2026-09-11</t>
        </is>
      </c>
      <c r="P146" s="47" t="inlineStr">
        <is>
          <t>уточнить</t>
        </is>
      </c>
      <c r="Q146" s="1" t="inlineStr">
        <is>
          <t>Только полотно, скрытый короб/наличники отдельно, «под ключ» по замеру 8 800 222 59 65; Строй Центр: Эмаль ПГ Стиль-1 полотно от 9 100 ₽</t>
        </is>
      </c>
    </row>
    <row r="147">
      <c r="A147" s="1" t="inlineStr">
        <is>
          <t>1_Ремонт</t>
        </is>
      </c>
      <c r="B147" s="1" t="n">
        <v>35</v>
      </c>
      <c r="C147" s="1" t="inlineStr">
        <is>
          <t>6. Двери</t>
        </is>
      </c>
      <c r="D147" s="1" t="inlineStr">
        <is>
          <t>Дверь стандартная 800 мм: полотно + короб + наличники + ручка + петли</t>
        </is>
      </c>
      <c r="E147" s="1" t="inlineStr">
        <is>
          <t>шт</t>
        </is>
      </c>
      <c r="F147" s="1" t="inlineStr">
        <is>
          <t>ВСЕ</t>
        </is>
      </c>
      <c r="G147" s="1" t="inlineStr">
        <is>
          <t>Авито Саратов — поиск «Дверь стандартная 800 мм» (новые товары магазинов и объявления)</t>
        </is>
      </c>
      <c r="H147" s="43" t="n"/>
      <c r="I147" s="43" t="n"/>
      <c r="J147" s="44" t="n"/>
      <c r="K147" s="1" t="inlineStr">
        <is>
          <t>Авито Саратов</t>
        </is>
      </c>
      <c r="L147" s="1" t="inlineStr">
        <is>
          <t>Саратов</t>
        </is>
      </c>
      <c r="M147" s="45" t="inlineStr">
        <is>
          <t>https://www.avito.ru/saratov?q=%D0%94%D0%B2%D0%B5%D1%80%D1%8C%20%D1%81%D1%82%D0%B0%D0%BD%D0%B4%D0%B0%D1%80%D1%82%D0%BD%D0%B0%D1%8F%20800%20%D0%BC%D0%BC</t>
        </is>
      </c>
      <c r="N147" s="1" t="inlineStr">
        <is>
          <t>не проверено</t>
        </is>
      </c>
      <c r="O147" s="1" t="inlineStr">
        <is>
          <t>2026-09-11</t>
        </is>
      </c>
      <c r="P147" s="47" t="inlineStr">
        <is>
          <t>уточнить</t>
        </is>
      </c>
      <c r="Q14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48">
      <c r="A148" s="1" t="inlineStr">
        <is>
          <t>1_Ремонт</t>
        </is>
      </c>
      <c r="B148" s="1" t="n">
        <v>36</v>
      </c>
      <c r="C148" s="1" t="inlineStr">
        <is>
          <t>6. Двери</t>
        </is>
      </c>
      <c r="D148" s="1" t="inlineStr">
        <is>
          <t>Дверь широкая в детскую (двустворчатая 1200–1400 или раздвижная): полотна + короб + фурнитура</t>
        </is>
      </c>
      <c r="E148" s="1" t="inlineStr">
        <is>
          <t>шт</t>
        </is>
      </c>
      <c r="F148" s="1" t="inlineStr">
        <is>
          <t>МИН</t>
        </is>
      </c>
      <c r="G148" s="1" t="inlineStr">
        <is>
          <t>Ламинированная двустворчатая распашная</t>
        </is>
      </c>
      <c r="H148" s="43" t="n"/>
      <c r="I148" s="43" t="n">
        <v>16000</v>
      </c>
      <c r="J148" s="44" t="n"/>
      <c r="K148" s="1" t="inlineStr">
        <is>
          <t>Лемана ПРО Саратов</t>
        </is>
      </c>
      <c r="L148" s="1" t="inlineStr">
        <is>
          <t>Саратов</t>
        </is>
      </c>
      <c r="M148" s="45" t="inlineStr">
        <is>
          <t>https://saratov.lemanapro.ru/catalogue/mezhkomnatnye-dveri/</t>
        </is>
      </c>
      <c r="N148" s="1" t="inlineStr">
        <is>
          <t>не проверено</t>
        </is>
      </c>
      <c r="O148" s="1" t="inlineStr">
        <is>
          <t>2026-09-11</t>
        </is>
      </c>
      <c r="P148" s="47" t="inlineStr">
        <is>
          <t>уточнить</t>
        </is>
      </c>
      <c r="Q148" s="1" t="inlineStr">
        <is>
          <t>Двустворчатых ламинированных с ценой не найдено; Лемана 401</t>
        </is>
      </c>
    </row>
    <row r="149">
      <c r="A149" s="1" t="inlineStr">
        <is>
          <t>1_Ремонт</t>
        </is>
      </c>
      <c r="B149" s="1" t="n">
        <v>36</v>
      </c>
      <c r="C149" s="1" t="inlineStr">
        <is>
          <t>6. Двери</t>
        </is>
      </c>
      <c r="D149" s="1" t="inlineStr">
        <is>
          <t>Дверь широкая в детскую (двустворчатая 1200–1400 или раздвижная): полотна + короб + фурнитура</t>
        </is>
      </c>
      <c r="E149" s="1" t="inlineStr">
        <is>
          <t>шт</t>
        </is>
      </c>
      <c r="F149" s="1" t="inlineStr">
        <is>
          <t>СРЕД</t>
        </is>
      </c>
      <c r="G149" s="1" t="inlineStr">
        <is>
          <t>Двустворчатая экошпон 1200×2000, комплект (2 полотна + короб + наличники)</t>
        </is>
      </c>
      <c r="H149" s="43" t="n">
        <v>15960</v>
      </c>
      <c r="I149" s="43" t="n">
        <v>35000</v>
      </c>
      <c r="J149" s="48" t="n">
        <v>-54.4</v>
      </c>
      <c r="K149" s="1" t="inlineStr">
        <is>
          <t>Dver1.ru / Alfaporta</t>
        </is>
      </c>
      <c r="L149" s="1" t="inlineStr">
        <is>
          <t>доставка в Саратов</t>
        </is>
      </c>
      <c r="M149" s="45" t="inlineStr">
        <is>
          <t>https://dver1.ru/catalog/razmery-1200x2000/</t>
        </is>
      </c>
      <c r="N149" s="1" t="inlineStr">
        <is>
          <t>сниппет</t>
        </is>
      </c>
      <c r="O149" s="1" t="inlineStr">
        <is>
          <t>2026-09-11</t>
        </is>
      </c>
      <c r="P149" s="47" t="inlineStr">
        <is>
          <t>уточнить</t>
        </is>
      </c>
      <c r="Q149" s="1" t="inlineStr">
        <is>
          <t>Сниппет: комплекты 13 475–15 960 ₽ без указания модели; Саратовский салон не подтверждён</t>
        </is>
      </c>
    </row>
    <row r="150">
      <c r="A150" s="1" t="inlineStr">
        <is>
          <t>1_Ремонт</t>
        </is>
      </c>
      <c r="B150" s="1" t="n">
        <v>36</v>
      </c>
      <c r="C150" s="1" t="inlineStr">
        <is>
          <t>6. Двери</t>
        </is>
      </c>
      <c r="D150" s="1" t="inlineStr">
        <is>
          <t>Дверь широкая в детскую (двустворчатая 1200–1400 или раздвижная): полотна + короб + фурнитура</t>
        </is>
      </c>
      <c r="E150" s="1" t="inlineStr">
        <is>
          <t>шт</t>
        </is>
      </c>
      <c r="F150" s="1" t="inlineStr">
        <is>
          <t>МАКС</t>
        </is>
      </c>
      <c r="G150" s="1" t="inlineStr">
        <is>
          <t>Раздвижная в пенал / стеклянная, шпон-эмаль</t>
        </is>
      </c>
      <c r="H150" s="43" t="n"/>
      <c r="I150" s="43" t="n">
        <v>90000</v>
      </c>
      <c r="J150" s="44" t="n"/>
      <c r="K150" s="1" t="inlineStr">
        <is>
          <t>Эстет Двери (Саратов)</t>
        </is>
      </c>
      <c r="L150" s="1" t="inlineStr">
        <is>
          <t>Саратов</t>
        </is>
      </c>
      <c r="M150" s="45" t="inlineStr">
        <is>
          <t>https://saratov.estetdveri.ru/catalog/mezhkomnatnye-dveri/</t>
        </is>
      </c>
      <c r="N150" s="1" t="inlineStr">
        <is>
          <t>страница</t>
        </is>
      </c>
      <c r="O150" s="1" t="inlineStr">
        <is>
          <t>2026-09-11</t>
        </is>
      </c>
      <c r="P150" s="47" t="inlineStr">
        <is>
          <t>уточнить</t>
        </is>
      </c>
      <c r="Q150" s="1" t="inlineStr">
        <is>
          <t>Двустворчатые есть в фильтре, цен нет; шпон Imperial 2 полотно от 22 500 ₽, эмаль Mantone 6 от 32 765 ₽</t>
        </is>
      </c>
    </row>
    <row r="151">
      <c r="A151" s="1" t="inlineStr">
        <is>
          <t>1_Ремонт</t>
        </is>
      </c>
      <c r="B151" s="1" t="n">
        <v>36</v>
      </c>
      <c r="C151" s="1" t="inlineStr">
        <is>
          <t>6. Двери</t>
        </is>
      </c>
      <c r="D151" s="1" t="inlineStr">
        <is>
          <t>Дверь широкая в детскую (двустворчатая 1200–1400 или раздвижная): полотна + короб + фурнитура</t>
        </is>
      </c>
      <c r="E151" s="1" t="inlineStr">
        <is>
          <t>шт</t>
        </is>
      </c>
      <c r="F151" s="1" t="inlineStr">
        <is>
          <t>ВСЕ</t>
        </is>
      </c>
      <c r="G151" s="1" t="inlineStr">
        <is>
          <t>Авито Саратов — поиск «Дверь широкая в детскую» (новые товары магазинов и объявления)</t>
        </is>
      </c>
      <c r="H151" s="43" t="n"/>
      <c r="I151" s="43" t="n"/>
      <c r="J151" s="44" t="n"/>
      <c r="K151" s="1" t="inlineStr">
        <is>
          <t>Авито Саратов</t>
        </is>
      </c>
      <c r="L151" s="1" t="inlineStr">
        <is>
          <t>Саратов</t>
        </is>
      </c>
      <c r="M151" s="45" t="inlineStr">
        <is>
          <t>https://www.avito.ru/saratov?q=%D0%94%D0%B2%D0%B5%D1%80%D1%8C%20%D1%88%D0%B8%D1%80%D0%BE%D0%BA%D0%B0%D1%8F%20%D0%B2%20%D0%B4%D0%B5%D1%82%D1%81%D0%BA%D1%83%D1%8E</t>
        </is>
      </c>
      <c r="N151" s="1" t="inlineStr">
        <is>
          <t>не проверено</t>
        </is>
      </c>
      <c r="O151" s="1" t="inlineStr">
        <is>
          <t>2026-09-11</t>
        </is>
      </c>
      <c r="P151" s="47" t="inlineStr">
        <is>
          <t>уточнить</t>
        </is>
      </c>
      <c r="Q15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52">
      <c r="A152" s="1" t="inlineStr">
        <is>
          <t>1_Ремонт</t>
        </is>
      </c>
      <c r="B152" s="1" t="n">
        <v>37</v>
      </c>
      <c r="C152" s="1" t="inlineStr">
        <is>
          <t>6. Двери</t>
        </is>
      </c>
      <c r="D152" s="1" t="inlineStr">
        <is>
          <t>Доборы, порожки, уплотнители</t>
        </is>
      </c>
      <c r="E152" s="1" t="inlineStr">
        <is>
          <t>компл</t>
        </is>
      </c>
      <c r="F152" s="1" t="inlineStr">
        <is>
          <t>МИН</t>
        </is>
      </c>
      <c r="G152" s="1" t="inlineStr">
        <is>
          <t>Добор 100 мм ×3 + порожек + уплотнитель</t>
        </is>
      </c>
      <c r="H152" s="43" t="n"/>
      <c r="I152" s="43" t="n">
        <v>3000</v>
      </c>
      <c r="J152" s="44" t="n"/>
      <c r="K152" s="1" t="inlineStr">
        <is>
          <t>Лемана ПРО Саратов</t>
        </is>
      </c>
      <c r="L152" s="1" t="inlineStr">
        <is>
          <t>Саратов</t>
        </is>
      </c>
      <c r="M152" s="45" t="inlineStr">
        <is>
          <t>https://saratov.lemanapro.ru/catalogue/dvernye-korobki-nalichniki-i-dobory/dobory-dvernye-100-mm/</t>
        </is>
      </c>
      <c r="N152" s="1" t="inlineStr">
        <is>
          <t>не проверено</t>
        </is>
      </c>
      <c r="O152" s="1" t="inlineStr">
        <is>
          <t>2026-09-11</t>
        </is>
      </c>
      <c r="P152" s="47" t="inlineStr">
        <is>
          <t>уточнить</t>
        </is>
      </c>
      <c r="Q152" s="1" t="inlineStr">
        <is>
          <t>Цены в сниппетах не показаны; Лемана 401</t>
        </is>
      </c>
    </row>
    <row r="153">
      <c r="A153" s="1" t="inlineStr">
        <is>
          <t>1_Ремонт</t>
        </is>
      </c>
      <c r="B153" s="1" t="n">
        <v>37</v>
      </c>
      <c r="C153" s="1" t="inlineStr">
        <is>
          <t>6. Двери</t>
        </is>
      </c>
      <c r="D153" s="1" t="inlineStr">
        <is>
          <t>Доборы, порожки, уплотнители</t>
        </is>
      </c>
      <c r="E153" s="1" t="inlineStr">
        <is>
          <t>компл</t>
        </is>
      </c>
      <c r="F153" s="1" t="inlineStr">
        <is>
          <t>СРЕД</t>
        </is>
      </c>
      <c r="G153" s="1" t="inlineStr">
        <is>
          <t>Телескопический добор 2050×100 (Wanmark) + порожки</t>
        </is>
      </c>
      <c r="H153" s="43" t="n"/>
      <c r="I153" s="43" t="n">
        <v>6000</v>
      </c>
      <c r="J153" s="44" t="n"/>
      <c r="K153" s="1" t="inlineStr">
        <is>
          <t>Лемана ПРО Саратов</t>
        </is>
      </c>
      <c r="L153" s="1" t="inlineStr">
        <is>
          <t>Саратов</t>
        </is>
      </c>
      <c r="M153" s="45" t="inlineStr">
        <is>
          <t>https://saratov.lemanapro.ru/catalogue/dobory/na-mezhkomnatnye-dveri/</t>
        </is>
      </c>
      <c r="N153" s="1" t="inlineStr">
        <is>
          <t>не проверено</t>
        </is>
      </c>
      <c r="O153" s="1" t="inlineStr">
        <is>
          <t>2026-09-11</t>
        </is>
      </c>
      <c r="P153" s="47" t="inlineStr">
        <is>
          <t>уточнить</t>
        </is>
      </c>
      <c r="Q153" s="1" t="inlineStr">
        <is>
          <t>Цены не показаны</t>
        </is>
      </c>
    </row>
    <row r="154">
      <c r="A154" s="1" t="inlineStr">
        <is>
          <t>1_Ремонт</t>
        </is>
      </c>
      <c r="B154" s="1" t="n">
        <v>37</v>
      </c>
      <c r="C154" s="1" t="inlineStr">
        <is>
          <t>6. Двери</t>
        </is>
      </c>
      <c r="D154" s="1" t="inlineStr">
        <is>
          <t>Доборы, порожки, уплотнители</t>
        </is>
      </c>
      <c r="E154" s="1" t="inlineStr">
        <is>
          <t>компл</t>
        </is>
      </c>
      <c r="F154" s="1" t="inlineStr">
        <is>
          <t>МАКС</t>
        </is>
      </c>
      <c r="G154" s="1" t="inlineStr">
        <is>
          <t>Доборы в цвет эмали + скрытые порожки</t>
        </is>
      </c>
      <c r="H154" s="43" t="n"/>
      <c r="I154" s="43" t="n">
        <v>12000</v>
      </c>
      <c r="J154" s="44" t="n"/>
      <c r="K154" s="1" t="inlineStr">
        <is>
          <t>Эстет Двери (Саратов)</t>
        </is>
      </c>
      <c r="L154" s="1" t="inlineStr">
        <is>
          <t>Саратов</t>
        </is>
      </c>
      <c r="M154" s="45" t="inlineStr">
        <is>
          <t>https://saratov.estetdveri.ru/catalog/mezhkomnatnye-dveri/</t>
        </is>
      </c>
      <c r="N154" s="1" t="inlineStr">
        <is>
          <t>не проверено</t>
        </is>
      </c>
      <c r="O154" s="1" t="inlineStr">
        <is>
          <t>2026-09-11</t>
        </is>
      </c>
      <c r="P154" s="47" t="inlineStr">
        <is>
          <t>уточнить</t>
        </is>
      </c>
      <c r="Q154" s="1" t="inlineStr">
        <is>
          <t>По запросу у салона</t>
        </is>
      </c>
    </row>
    <row r="155">
      <c r="A155" s="1" t="inlineStr">
        <is>
          <t>1_Ремонт</t>
        </is>
      </c>
      <c r="B155" s="1" t="n">
        <v>37</v>
      </c>
      <c r="C155" s="1" t="inlineStr">
        <is>
          <t>6. Двери</t>
        </is>
      </c>
      <c r="D155" s="1" t="inlineStr">
        <is>
          <t>Доборы, порожки, уплотнители</t>
        </is>
      </c>
      <c r="E155" s="1" t="inlineStr">
        <is>
          <t>компл</t>
        </is>
      </c>
      <c r="F155" s="1" t="inlineStr">
        <is>
          <t>ВСЕ</t>
        </is>
      </c>
      <c r="G155" s="1" t="inlineStr">
        <is>
          <t>Авито Саратов — поиск «Доборы, порожки, уплотнители» (новые товары магазинов и объявления)</t>
        </is>
      </c>
      <c r="H155" s="43" t="n"/>
      <c r="I155" s="43" t="n"/>
      <c r="J155" s="44" t="n"/>
      <c r="K155" s="1" t="inlineStr">
        <is>
          <t>Авито Саратов</t>
        </is>
      </c>
      <c r="L155" s="1" t="inlineStr">
        <is>
          <t>Саратов</t>
        </is>
      </c>
      <c r="M155" s="45" t="inlineStr">
        <is>
          <t>https://www.avito.ru/saratov?q=%D0%94%D0%BE%D0%B1%D0%BE%D1%80%D1%8B%2C%20%D0%BF%D0%BE%D1%80%D0%BE%D0%B6%D0%BA%D0%B8%2C%20%D1%83%D0%BF%D0%BB%D0%BE%D1%82%D0%BD%D0%B8%D1%82%D0%B5%D0%BB%D0%B8</t>
        </is>
      </c>
      <c r="N155" s="1" t="inlineStr">
        <is>
          <t>не проверено</t>
        </is>
      </c>
      <c r="O155" s="1" t="inlineStr">
        <is>
          <t>2026-09-11</t>
        </is>
      </c>
      <c r="P155" s="47" t="inlineStr">
        <is>
          <t>уточнить</t>
        </is>
      </c>
      <c r="Q15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56">
      <c r="A156" s="1" t="inlineStr">
        <is>
          <t>1_Ремонт</t>
        </is>
      </c>
      <c r="B156" s="1" t="n">
        <v>38</v>
      </c>
      <c r="C156" s="1" t="inlineStr">
        <is>
          <t>7. Работы</t>
        </is>
      </c>
      <c r="D156" s="1" t="inlineStr">
        <is>
          <t>Подготовка основания пола (грунт, ровнитель)</t>
        </is>
      </c>
      <c r="E156" s="1" t="inlineStr">
        <is>
          <t>компл</t>
        </is>
      </c>
      <c r="F156" s="1" t="inlineStr">
        <is>
          <t>МИН</t>
        </is>
      </c>
      <c r="G156" s="1" t="inlineStr">
        <is>
          <t>фирма-дискаунтер (Корона-ремонт), грунт+наливной по всей площади 42 м²</t>
        </is>
      </c>
      <c r="H156" s="43" t="n">
        <v>10500</v>
      </c>
      <c r="I156" s="43" t="n">
        <v>5000</v>
      </c>
      <c r="J156" s="48" t="n">
        <v>110</v>
      </c>
      <c r="K156" s="1" t="inlineStr">
        <is>
          <t>Корона-ремонт Саратов</t>
        </is>
      </c>
      <c r="L156" s="1" t="inlineStr">
        <is>
          <t>Саратов</t>
        </is>
      </c>
      <c r="M156" s="45" t="inlineStr">
        <is>
          <t>https://saratov.korona-remont.ru/prices</t>
        </is>
      </c>
      <c r="N156" s="1" t="inlineStr">
        <is>
          <t>прайс-лист</t>
        </is>
      </c>
      <c r="O156" s="1" t="inlineStr">
        <is>
          <t>2026-09-11</t>
        </is>
      </c>
      <c r="P156" s="46" t="inlineStr">
        <is>
          <t>ок</t>
        </is>
      </c>
      <c r="Q156" s="1" t="inlineStr">
        <is>
          <t>Грунтование пола 25 ₽/м² + наливной пол 225 ₽/м² = 250 ₽/м² × 42 м² = 10 500 ₽. Смета МИН 5 000 хватит только на грунт + ~15 м² ровнителя</t>
        </is>
      </c>
    </row>
    <row r="157">
      <c r="A157" s="1" t="inlineStr">
        <is>
          <t>1_Ремонт</t>
        </is>
      </c>
      <c r="B157" s="1" t="n">
        <v>38</v>
      </c>
      <c r="C157" s="1" t="inlineStr">
        <is>
          <t>7. Работы</t>
        </is>
      </c>
      <c r="D157" s="1" t="inlineStr">
        <is>
          <t>Подготовка основания пола (грунт, ровнитель)</t>
        </is>
      </c>
      <c r="E157" s="1" t="inlineStr">
        <is>
          <t>компл</t>
        </is>
      </c>
      <c r="F157" s="1" t="inlineStr">
        <is>
          <t>СРЕД</t>
        </is>
      </c>
      <c r="G157" s="1" t="inlineStr">
        <is>
          <t>ремонтная фирма (Рэмо64), прайс 2026</t>
        </is>
      </c>
      <c r="H157" s="43" t="n">
        <v>12600</v>
      </c>
      <c r="I157" s="43" t="n">
        <v>12000</v>
      </c>
      <c r="J157" s="44" t="n">
        <v>5</v>
      </c>
      <c r="K157" s="1" t="inlineStr">
        <is>
          <t>Рэмо64</t>
        </is>
      </c>
      <c r="L157" s="1" t="inlineStr">
        <is>
          <t>Саратов</t>
        </is>
      </c>
      <c r="M157" s="45" t="inlineStr">
        <is>
          <t>https://remo64.ru/price_otdelka.php</t>
        </is>
      </c>
      <c r="N157" s="1" t="inlineStr">
        <is>
          <t>прайс-лист</t>
        </is>
      </c>
      <c r="O157" s="1" t="inlineStr">
        <is>
          <t>2026-09-11</t>
        </is>
      </c>
      <c r="P157" s="46" t="inlineStr">
        <is>
          <t>ок</t>
        </is>
      </c>
      <c r="Q157" s="1" t="inlineStr">
        <is>
          <t>Грунтование полов (обеспыливание) от 50 ₽/м² + наливной пол 0,2–1 см от 250 ₽/м² = 300 ₽/м² × 42 м² = 12 600 ₽</t>
        </is>
      </c>
    </row>
    <row r="158">
      <c r="A158" s="1" t="inlineStr">
        <is>
          <t>1_Ремонт</t>
        </is>
      </c>
      <c r="B158" s="1" t="n">
        <v>38</v>
      </c>
      <c r="C158" s="1" t="inlineStr">
        <is>
          <t>7. Работы</t>
        </is>
      </c>
      <c r="D158" s="1" t="inlineStr">
        <is>
          <t>Подготовка основания пола (грунт, ровнитель)</t>
        </is>
      </c>
      <c r="E158" s="1" t="inlineStr">
        <is>
          <t>компл</t>
        </is>
      </c>
      <c r="F158" s="1" t="inlineStr">
        <is>
          <t>МАКС</t>
        </is>
      </c>
      <c r="G158" s="1" t="inlineStr">
        <is>
          <t>фирма с договором (Ремонт64/proff-remont), гарантия 3 года</t>
        </is>
      </c>
      <c r="H158" s="43" t="n">
        <v>18480</v>
      </c>
      <c r="I158" s="43" t="n">
        <v>25000</v>
      </c>
      <c r="J158" s="44" t="n">
        <v>-26.1</v>
      </c>
      <c r="K158" s="1" t="inlineStr">
        <is>
          <t>Proff-remont Саратов</t>
        </is>
      </c>
      <c r="L158" s="1" t="inlineStr">
        <is>
          <t>Саратов</t>
        </is>
      </c>
      <c r="M158" s="45" t="inlineStr">
        <is>
          <t>https://saratov.proff-remont.ru/ceny/</t>
        </is>
      </c>
      <c r="N158" s="1" t="inlineStr">
        <is>
          <t>прайс-лист</t>
        </is>
      </c>
      <c r="O158" s="1" t="inlineStr">
        <is>
          <t>2026-09-11</t>
        </is>
      </c>
      <c r="P158" s="46" t="inlineStr">
        <is>
          <t>ок</t>
        </is>
      </c>
      <c r="Q158" s="1" t="inlineStr">
        <is>
          <t>Устройство наливных полов 370 ₽/м² + грунтовка глубокого проникновения 70 ₽/м² = 440 ₽/м² × 42 м² = 18 480 ₽ (тонкий наливной по всей площади)</t>
        </is>
      </c>
    </row>
    <row r="159">
      <c r="A159" s="1" t="inlineStr">
        <is>
          <t>1_Ремонт</t>
        </is>
      </c>
      <c r="B159" s="1" t="n">
        <v>38</v>
      </c>
      <c r="C159" s="1" t="inlineStr">
        <is>
          <t>7. Работы</t>
        </is>
      </c>
      <c r="D159" s="1" t="inlineStr">
        <is>
          <t>Подготовка основания пола (грунт, ровнитель)</t>
        </is>
      </c>
      <c r="E159" s="1" t="inlineStr">
        <is>
          <t>компл</t>
        </is>
      </c>
      <c r="F159" s="1" t="inlineStr">
        <is>
          <t>ВСЕ</t>
        </is>
      </c>
      <c r="G159" s="1" t="inlineStr">
        <is>
          <t>Авито Саратов — поиск «Подготовка основания пола» (услуги мастеров)</t>
        </is>
      </c>
      <c r="H159" s="43" t="n"/>
      <c r="I159" s="43" t="n"/>
      <c r="J159" s="44" t="n"/>
      <c r="K159" s="1" t="inlineStr">
        <is>
          <t>Авито Саратов</t>
        </is>
      </c>
      <c r="L159" s="1" t="inlineStr">
        <is>
          <t>Саратов</t>
        </is>
      </c>
      <c r="M159" s="45" t="inlineStr">
        <is>
          <t>https://www.avito.ru/saratov/predlozheniya_uslug?q=%D0%9F%D0%BE%D0%B4%D0%B3%D0%BE%D1%82%D0%BE%D0%B2%D0%BA%D0%B0%20%D0%BE%D1%81%D0%BD%D0%BE%D0%B2%D0%B0%D0%BD%D0%B8%D1%8F%20%D0%BF%D0%BE%D0%BB%D0%B0%20%D0%A1%D0%B0%D1%80%D0%B0%D1%82%D0%BE%D0%B2</t>
        </is>
      </c>
      <c r="N159" s="1" t="inlineStr">
        <is>
          <t>не проверено</t>
        </is>
      </c>
      <c r="O159" s="1" t="inlineStr">
        <is>
          <t>2026-09-11</t>
        </is>
      </c>
      <c r="P159" s="47" t="inlineStr">
        <is>
          <t>уточнить</t>
        </is>
      </c>
      <c r="Q15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60">
      <c r="A160" s="1" t="inlineStr">
        <is>
          <t>1_Ремонт</t>
        </is>
      </c>
      <c r="B160" s="1" t="n">
        <v>39</v>
      </c>
      <c r="C160" s="1" t="inlineStr">
        <is>
          <t>7. Работы</t>
        </is>
      </c>
      <c r="D160" s="1" t="inlineStr">
        <is>
          <t>Укладка напольного покрытия</t>
        </is>
      </c>
      <c r="E160" s="1" t="inlineStr">
        <is>
          <t>м²</t>
        </is>
      </c>
      <c r="F160" s="1" t="inlineStr">
        <is>
          <t>МИН</t>
        </is>
      </c>
      <c r="G160" s="1" t="inlineStr">
        <is>
          <t>частник Profi.ru Саратов (нижняя цена)</t>
        </is>
      </c>
      <c r="H160" s="43" t="n">
        <v>200</v>
      </c>
      <c r="I160" s="43" t="n">
        <v>300</v>
      </c>
      <c r="J160" s="48" t="n">
        <v>-33.3</v>
      </c>
      <c r="K160" s="1" t="inlineStr">
        <is>
          <t>Profi.ru Саратов</t>
        </is>
      </c>
      <c r="L160" s="1" t="inlineStr">
        <is>
          <t>Саратов</t>
        </is>
      </c>
      <c r="M160" s="45" t="inlineStr">
        <is>
          <t>https://profi.ru/geo-saratov/remont/pol/ukladka-laminata/price/</t>
        </is>
      </c>
      <c r="N160" s="1" t="inlineStr">
        <is>
          <t>страница</t>
        </is>
      </c>
      <c r="O160" s="1" t="inlineStr">
        <is>
          <t>2026-09-11</t>
        </is>
      </c>
      <c r="P160" s="46" t="inlineStr">
        <is>
          <t>ок</t>
        </is>
      </c>
      <c r="Q160" s="1" t="inlineStr">
        <is>
          <t>Укладка ламината «от 200 ₽ за кв.м»; кварцвинил от 350, диагональ от 400, ёлочка от 480</t>
        </is>
      </c>
    </row>
    <row r="161">
      <c r="A161" s="1" t="inlineStr">
        <is>
          <t>1_Ремонт</t>
        </is>
      </c>
      <c r="B161" s="1" t="n">
        <v>39</v>
      </c>
      <c r="C161" s="1" t="inlineStr">
        <is>
          <t>7. Работы</t>
        </is>
      </c>
      <c r="D161" s="1" t="inlineStr">
        <is>
          <t>Укладка напольного покрытия</t>
        </is>
      </c>
      <c r="E161" s="1" t="inlineStr">
        <is>
          <t>м²</t>
        </is>
      </c>
      <c r="F161" s="1" t="inlineStr">
        <is>
          <t>СРЕД</t>
        </is>
      </c>
      <c r="G161" s="1" t="inlineStr">
        <is>
          <t>сервис мастеров «Домашние мастера» (d-mastera), чек и гарантия до 1 года</t>
        </is>
      </c>
      <c r="H161" s="43" t="n">
        <v>300</v>
      </c>
      <c r="I161" s="43" t="n">
        <v>450</v>
      </c>
      <c r="J161" s="48" t="n">
        <v>-33.3</v>
      </c>
      <c r="K161" s="1" t="inlineStr">
        <is>
          <t>d-mastera Саратов</t>
        </is>
      </c>
      <c r="L161" s="1" t="inlineStr">
        <is>
          <t>Саратов</t>
        </is>
      </c>
      <c r="M161" s="45" t="inlineStr">
        <is>
          <t>https://saratov.d-mastera.ru/tsena-za-ukladku-m2-laminata-i-linoleuma/</t>
        </is>
      </c>
      <c r="N161" s="1" t="inlineStr">
        <is>
          <t>страница</t>
        </is>
      </c>
      <c r="O161" s="1" t="inlineStr">
        <is>
          <t>2026-09-11</t>
        </is>
      </c>
      <c r="P161" s="46" t="inlineStr">
        <is>
          <t>ок</t>
        </is>
      </c>
      <c r="Q161" s="1" t="inlineStr">
        <is>
          <t>«Укладка ламината от 300 ₽», подложка от 30 ₽/м²; Profi.ru средняя тоже 300 ₽/м²</t>
        </is>
      </c>
    </row>
    <row r="162">
      <c r="A162" s="1" t="inlineStr">
        <is>
          <t>1_Ремонт</t>
        </is>
      </c>
      <c r="B162" s="1" t="n">
        <v>39</v>
      </c>
      <c r="C162" s="1" t="inlineStr">
        <is>
          <t>7. Работы</t>
        </is>
      </c>
      <c r="D162" s="1" t="inlineStr">
        <is>
          <t>Укладка напольного покрытия</t>
        </is>
      </c>
      <c r="E162" s="1" t="inlineStr">
        <is>
          <t>м²</t>
        </is>
      </c>
      <c r="F162" s="1" t="inlineStr">
        <is>
          <t>МАКС</t>
        </is>
      </c>
      <c r="G162" s="1" t="inlineStr">
        <is>
          <t>фирма с договором и твёрдой сметой (РЕМСТРОЙ64 / s5r)</t>
        </is>
      </c>
      <c r="H162" s="43" t="n">
        <v>400</v>
      </c>
      <c r="I162" s="43" t="n">
        <v>700</v>
      </c>
      <c r="J162" s="48" t="n">
        <v>-42.9</v>
      </c>
      <c r="K162" s="1" t="inlineStr">
        <is>
          <t>РЕМСТРОЙ64 (saratov.s5r.ru)</t>
        </is>
      </c>
      <c r="L162" s="1" t="inlineStr">
        <is>
          <t>Саратов</t>
        </is>
      </c>
      <c r="M162" s="45" t="inlineStr">
        <is>
          <t>https://saratov.s5r.ru/ukladka-laminata</t>
        </is>
      </c>
      <c r="N162" s="1" t="inlineStr">
        <is>
          <t>прайс-лист</t>
        </is>
      </c>
      <c r="O162" s="1" t="inlineStr">
        <is>
          <t>2026-09-11</t>
        </is>
      </c>
      <c r="P162" s="46" t="inlineStr">
        <is>
          <t>ок</t>
        </is>
      </c>
      <c r="Q162" s="1" t="inlineStr">
        <is>
          <t>Укладка ламината прямо 297 ₽/м², по диагонали 400 ₽/м² (сценарий МАКС сметы), художественный 560; подложка 51 ₽/м²</t>
        </is>
      </c>
    </row>
    <row r="163">
      <c r="A163" s="1" t="inlineStr">
        <is>
          <t>1_Ремонт</t>
        </is>
      </c>
      <c r="B163" s="1" t="n">
        <v>39</v>
      </c>
      <c r="C163" s="1" t="inlineStr">
        <is>
          <t>7. Работы</t>
        </is>
      </c>
      <c r="D163" s="1" t="inlineStr">
        <is>
          <t>Укладка напольного покрытия</t>
        </is>
      </c>
      <c r="E163" s="1" t="inlineStr">
        <is>
          <t>м²</t>
        </is>
      </c>
      <c r="F163" s="1" t="inlineStr">
        <is>
          <t>ВСЕ</t>
        </is>
      </c>
      <c r="G163" s="1" t="inlineStr">
        <is>
          <t>Авито Саратов — поиск «Укладка напольного покрытия» (услуги мастеров)</t>
        </is>
      </c>
      <c r="H163" s="43" t="n"/>
      <c r="I163" s="43" t="n"/>
      <c r="J163" s="44" t="n"/>
      <c r="K163" s="1" t="inlineStr">
        <is>
          <t>Авито Саратов</t>
        </is>
      </c>
      <c r="L163" s="1" t="inlineStr">
        <is>
          <t>Саратов</t>
        </is>
      </c>
      <c r="M163" s="45" t="inlineStr">
        <is>
          <t>https://www.avito.ru/saratov/predlozheniya_uslug?q=%D0%A3%D0%BA%D0%BB%D0%B0%D0%B4%D0%BA%D0%B0%20%D0%BD%D0%B0%D0%BF%D0%BE%D0%BB%D1%8C%D0%BD%D0%BE%D0%B3%D0%BE%20%D0%BF%D0%BE%D0%BA%D1%80%D1%8B%D1%82%D0%B8%D1%8F%20%D0%A1%D0%B0%D1%80%D0%B0%D1%82%D0%BE%D0%B2</t>
        </is>
      </c>
      <c r="N163" s="1" t="inlineStr">
        <is>
          <t>не проверено</t>
        </is>
      </c>
      <c r="O163" s="1" t="inlineStr">
        <is>
          <t>2026-09-11</t>
        </is>
      </c>
      <c r="P163" s="47" t="inlineStr">
        <is>
          <t>уточнить</t>
        </is>
      </c>
      <c r="Q16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64">
      <c r="A164" s="1" t="inlineStr">
        <is>
          <t>1_Ремонт</t>
        </is>
      </c>
      <c r="B164" s="1" t="n">
        <v>40</v>
      </c>
      <c r="C164" s="1" t="inlineStr">
        <is>
          <t>7. Работы</t>
        </is>
      </c>
      <c r="D164" s="1" t="inlineStr">
        <is>
          <t>Монтаж плинтуса</t>
        </is>
      </c>
      <c r="E164" s="1" t="inlineStr">
        <is>
          <t>п.м</t>
        </is>
      </c>
      <c r="F164" s="1" t="inlineStr">
        <is>
          <t>МИН</t>
        </is>
      </c>
      <c r="G164" s="1" t="inlineStr">
        <is>
          <t>фирма-дискаунтер (Корона-ремонт)</t>
        </is>
      </c>
      <c r="H164" s="43" t="n">
        <v>45</v>
      </c>
      <c r="I164" s="43" t="n">
        <v>150</v>
      </c>
      <c r="J164" s="48" t="n">
        <v>-70</v>
      </c>
      <c r="K164" s="1" t="inlineStr">
        <is>
          <t>Корона-ремонт Саратов</t>
        </is>
      </c>
      <c r="L164" s="1" t="inlineStr">
        <is>
          <t>Саратов</t>
        </is>
      </c>
      <c r="M164" s="45" t="inlineStr">
        <is>
          <t>https://saratov.korona-remont.ru/prices</t>
        </is>
      </c>
      <c r="N164" s="1" t="inlineStr">
        <is>
          <t>прайс-лист</t>
        </is>
      </c>
      <c r="O164" s="1" t="inlineStr">
        <is>
          <t>2026-09-11</t>
        </is>
      </c>
      <c r="P164" s="46" t="inlineStr">
        <is>
          <t>ок</t>
        </is>
      </c>
      <c r="Q164" s="1" t="inlineStr">
        <is>
          <t>«Установка напольного деревянного плинтуса» 45 ₽/мп; Proff-remont пластиковый плинтус 80 ₽/м.п.</t>
        </is>
      </c>
    </row>
    <row r="165">
      <c r="A165" s="1" t="inlineStr">
        <is>
          <t>1_Ремонт</t>
        </is>
      </c>
      <c r="B165" s="1" t="n">
        <v>40</v>
      </c>
      <c r="C165" s="1" t="inlineStr">
        <is>
          <t>7. Работы</t>
        </is>
      </c>
      <c r="D165" s="1" t="inlineStr">
        <is>
          <t>Монтаж плинтуса</t>
        </is>
      </c>
      <c r="E165" s="1" t="inlineStr">
        <is>
          <t>п.м</t>
        </is>
      </c>
      <c r="F165" s="1" t="inlineStr">
        <is>
          <t>СРЕД</t>
        </is>
      </c>
      <c r="G165" s="1" t="inlineStr">
        <is>
          <t>ремонтная фирма (Рэмо64), прайс 2026</t>
        </is>
      </c>
      <c r="H165" s="43" t="n">
        <v>150</v>
      </c>
      <c r="I165" s="43" t="n">
        <v>250</v>
      </c>
      <c r="J165" s="48" t="n">
        <v>-40</v>
      </c>
      <c r="K165" s="1" t="inlineStr">
        <is>
          <t>Рэмо64</t>
        </is>
      </c>
      <c r="L165" s="1" t="inlineStr">
        <is>
          <t>Саратов</t>
        </is>
      </c>
      <c r="M165" s="45" t="inlineStr">
        <is>
          <t>https://remo64.ru/price_otdelka.php</t>
        </is>
      </c>
      <c r="N165" s="1" t="inlineStr">
        <is>
          <t>прайс-лист</t>
        </is>
      </c>
      <c r="O165" s="1" t="inlineStr">
        <is>
          <t>2026-09-11</t>
        </is>
      </c>
      <c r="P165" s="46" t="inlineStr">
        <is>
          <t>ок</t>
        </is>
      </c>
      <c r="Q165" s="1" t="inlineStr">
        <is>
          <t>Монтаж плинтуса от 150 ₽/п.м (диапазон 150–750 в зависимости от вида — ПВХ/МДФ/массив)</t>
        </is>
      </c>
    </row>
    <row r="166">
      <c r="A166" s="1" t="inlineStr">
        <is>
          <t>1_Ремонт</t>
        </is>
      </c>
      <c r="B166" s="1" t="n">
        <v>40</v>
      </c>
      <c r="C166" s="1" t="inlineStr">
        <is>
          <t>7. Работы</t>
        </is>
      </c>
      <c r="D166" s="1" t="inlineStr">
        <is>
          <t>Монтаж плинтуса</t>
        </is>
      </c>
      <c r="E166" s="1" t="inlineStr">
        <is>
          <t>п.м</t>
        </is>
      </c>
      <c r="F166" s="1" t="inlineStr">
        <is>
          <t>МАКС</t>
        </is>
      </c>
      <c r="G166" s="1" t="inlineStr">
        <is>
          <t>бригада с договором (Гарант.Строй Комплекс)</t>
        </is>
      </c>
      <c r="H166" s="43" t="n">
        <v>153</v>
      </c>
      <c r="I166" s="43" t="n">
        <v>400</v>
      </c>
      <c r="J166" s="48" t="n">
        <v>-61.8</v>
      </c>
      <c r="K166" s="1" t="inlineStr">
        <is>
          <t>Гарант.Строй Комплекс</t>
        </is>
      </c>
      <c r="L166" s="1" t="inlineStr">
        <is>
          <t>Саратов</t>
        </is>
      </c>
      <c r="M166" s="45" t="inlineStr">
        <is>
          <t>https://saratov.garantstroikompleks.ru/prajs-list</t>
        </is>
      </c>
      <c r="N166" s="1" t="inlineStr">
        <is>
          <t>прайс-лист</t>
        </is>
      </c>
      <c r="O166" s="1" t="inlineStr">
        <is>
          <t>2026-09-11</t>
        </is>
      </c>
      <c r="P166" s="46" t="inlineStr">
        <is>
          <t>ок</t>
        </is>
      </c>
      <c r="Q166" s="1" t="inlineStr">
        <is>
          <t>«Монтаж плинтуса напольного пластикового» 153 ₽/п.м; для МДФ/скрытого плинтуса верх диапазона Рэмо64 — до 750 ₽/п.м</t>
        </is>
      </c>
    </row>
    <row r="167">
      <c r="A167" s="1" t="inlineStr">
        <is>
          <t>1_Ремонт</t>
        </is>
      </c>
      <c r="B167" s="1" t="n">
        <v>40</v>
      </c>
      <c r="C167" s="1" t="inlineStr">
        <is>
          <t>7. Работы</t>
        </is>
      </c>
      <c r="D167" s="1" t="inlineStr">
        <is>
          <t>Монтаж плинтуса</t>
        </is>
      </c>
      <c r="E167" s="1" t="inlineStr">
        <is>
          <t>п.м</t>
        </is>
      </c>
      <c r="F167" s="1" t="inlineStr">
        <is>
          <t>ВСЕ</t>
        </is>
      </c>
      <c r="G167" s="1" t="inlineStr">
        <is>
          <t>Авито Саратов — поиск «Монтаж плинтуса» (услуги мастеров)</t>
        </is>
      </c>
      <c r="H167" s="43" t="n"/>
      <c r="I167" s="43" t="n"/>
      <c r="J167" s="44" t="n"/>
      <c r="K167" s="1" t="inlineStr">
        <is>
          <t>Авито Саратов</t>
        </is>
      </c>
      <c r="L167" s="1" t="inlineStr">
        <is>
          <t>Саратов</t>
        </is>
      </c>
      <c r="M167" s="45" t="inlineStr">
        <is>
          <t>https://www.avito.ru/saratov/predlozheniya_uslug?q=%D0%9C%D0%BE%D0%BD%D1%82%D0%B0%D0%B6%20%D0%BF%D0%BB%D0%B8%D0%BD%D1%82%D1%83%D1%81%D0%B0%20%D0%A1%D0%B0%D1%80%D0%B0%D1%82%D0%BE%D0%B2</t>
        </is>
      </c>
      <c r="N167" s="1" t="inlineStr">
        <is>
          <t>не проверено</t>
        </is>
      </c>
      <c r="O167" s="1" t="inlineStr">
        <is>
          <t>2026-09-11</t>
        </is>
      </c>
      <c r="P167" s="47" t="inlineStr">
        <is>
          <t>уточнить</t>
        </is>
      </c>
      <c r="Q16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68">
      <c r="A168" s="1" t="inlineStr">
        <is>
          <t>1_Ремонт</t>
        </is>
      </c>
      <c r="B168" s="1" t="n">
        <v>41</v>
      </c>
      <c r="C168" s="1" t="inlineStr">
        <is>
          <t>7. Работы</t>
        </is>
      </c>
      <c r="D168" s="1" t="inlineStr">
        <is>
          <t>Электрика под потолок (разводка точек света)</t>
        </is>
      </c>
      <c r="E168" s="1" t="inlineStr">
        <is>
          <t>компл</t>
        </is>
      </c>
      <c r="F168" s="1" t="inlineStr">
        <is>
          <t>МИН</t>
        </is>
      </c>
      <c r="G168" s="1" t="inlineStr">
        <is>
          <t>сервис мастеров d-mastera (выезд бесплатно)</t>
        </is>
      </c>
      <c r="H168" s="43" t="n">
        <v>4640</v>
      </c>
      <c r="I168" s="43" t="n">
        <v>6000</v>
      </c>
      <c r="J168" s="44" t="n">
        <v>-22.7</v>
      </c>
      <c r="K168" s="1" t="inlineStr">
        <is>
          <t>d-mastera Саратов</t>
        </is>
      </c>
      <c r="L168" s="1" t="inlineStr">
        <is>
          <t>Саратов</t>
        </is>
      </c>
      <c r="M168" s="45" t="inlineStr">
        <is>
          <t>https://saratov.d-mastera.ru/tseny-na-elektromontazhnye-raboty/</t>
        </is>
      </c>
      <c r="N168" s="1" t="inlineStr">
        <is>
          <t>прайс-лист</t>
        </is>
      </c>
      <c r="O168" s="1" t="inlineStr">
        <is>
          <t>2026-09-11</t>
        </is>
      </c>
      <c r="P168" s="46" t="inlineStr">
        <is>
          <t>ок</t>
        </is>
      </c>
      <c r="Q168" s="1" t="inlineStr">
        <is>
          <t>Допущение: 8 точек света, 40 п.м кабеля открыто под натяжной. Прокладка кабеля до 4 мм² 80 ₽/пог.м × 40 = 3 200 + установка точечного светильника 180 ₽ × 8 = 1 440 → 4 640 ₽</t>
        </is>
      </c>
    </row>
    <row r="169">
      <c r="A169" s="1" t="inlineStr">
        <is>
          <t>1_Ремонт</t>
        </is>
      </c>
      <c r="B169" s="1" t="n">
        <v>41</v>
      </c>
      <c r="C169" s="1" t="inlineStr">
        <is>
          <t>7. Работы</t>
        </is>
      </c>
      <c r="D169" s="1" t="inlineStr">
        <is>
          <t>Электрика под потолок (разводка точек света)</t>
        </is>
      </c>
      <c r="E169" s="1" t="inlineStr">
        <is>
          <t>компл</t>
        </is>
      </c>
      <c r="F169" s="1" t="inlineStr">
        <is>
          <t>СРЕД</t>
        </is>
      </c>
      <c r="G169" s="1" t="inlineStr">
        <is>
          <t>электрик-фирма dom-electric (прайс 2026)</t>
        </is>
      </c>
      <c r="H169" s="43" t="n">
        <v>8800</v>
      </c>
      <c r="I169" s="43" t="n">
        <v>12000</v>
      </c>
      <c r="J169" s="44" t="n">
        <v>-26.7</v>
      </c>
      <c r="K169" s="1" t="inlineStr">
        <is>
          <t>Дом Электрик Саратов</t>
        </is>
      </c>
      <c r="L169" s="1" t="inlineStr">
        <is>
          <t>Саратов</t>
        </is>
      </c>
      <c r="M169" s="45" t="inlineStr">
        <is>
          <t>https://saratov.dom-electric.ru/price</t>
        </is>
      </c>
      <c r="N169" s="1" t="inlineStr">
        <is>
          <t>прайс-лист</t>
        </is>
      </c>
      <c r="O169" s="1" t="inlineStr">
        <is>
          <t>2026-09-11</t>
        </is>
      </c>
      <c r="P169" s="46" t="inlineStr">
        <is>
          <t>ок</t>
        </is>
      </c>
      <c r="Q169" s="1" t="inlineStr">
        <is>
          <t>Прокладка кабеля до 4 мм² от 100 ₽/м × 40 = 4 000 + установка светильников от 600 ₽ × 8 = 4 800 → 8 800 ₽ (то же допущение 8 точек/40 м)</t>
        </is>
      </c>
    </row>
    <row r="170">
      <c r="A170" s="1" t="inlineStr">
        <is>
          <t>1_Ремонт</t>
        </is>
      </c>
      <c r="B170" s="1" t="n">
        <v>41</v>
      </c>
      <c r="C170" s="1" t="inlineStr">
        <is>
          <t>7. Работы</t>
        </is>
      </c>
      <c r="D170" s="1" t="inlineStr">
        <is>
          <t>Электрика под потолок (разводка точек света)</t>
        </is>
      </c>
      <c r="E170" s="1" t="inlineStr">
        <is>
          <t>компл</t>
        </is>
      </c>
      <c r="F170" s="1" t="inlineStr">
        <is>
          <t>МАКС</t>
        </is>
      </c>
      <c r="G170" s="1" t="inlineStr">
        <is>
          <t>фирма с договором и гарантией 3 года (РЕМСТРОЙ64)</t>
        </is>
      </c>
      <c r="H170" s="43" t="n"/>
      <c r="I170" s="43" t="n">
        <v>25000</v>
      </c>
      <c r="J170" s="44" t="n"/>
      <c r="K170" s="1" t="inlineStr">
        <is>
          <t>РЕМСТРОЙ64 (saratov.s5r.ru)</t>
        </is>
      </c>
      <c r="L170" s="1" t="inlineStr">
        <is>
          <t>Саратов</t>
        </is>
      </c>
      <c r="M170" s="45" t="inlineStr">
        <is>
          <t>https://saratov.s5r.ru/ehlektromontazh</t>
        </is>
      </c>
      <c r="N170" s="1" t="inlineStr">
        <is>
          <t>прайс-лист</t>
        </is>
      </c>
      <c r="O170" s="1" t="inlineStr">
        <is>
          <t>2026-09-11</t>
        </is>
      </c>
      <c r="P170" s="47" t="inlineStr">
        <is>
          <t>уточнить</t>
        </is>
      </c>
      <c r="Q170" s="1" t="inlineStr">
        <is>
          <t>Нет строки «разводка кабеля под потолком»: есть только «прокладка кабеля в штробе» 31 ₽/п.м и «монтаж точечного светильника» 154 ₽/шт; Гарант — «монтаж эл.точек» 214 ₽/шт без цены кабеля. Запросить смету</t>
        </is>
      </c>
    </row>
    <row r="171">
      <c r="A171" s="1" t="inlineStr">
        <is>
          <t>1_Ремонт</t>
        </is>
      </c>
      <c r="B171" s="1" t="n">
        <v>41</v>
      </c>
      <c r="C171" s="1" t="inlineStr">
        <is>
          <t>7. Работы</t>
        </is>
      </c>
      <c r="D171" s="1" t="inlineStr">
        <is>
          <t>Электрика под потолок (разводка точек света)</t>
        </is>
      </c>
      <c r="E171" s="1" t="inlineStr">
        <is>
          <t>компл</t>
        </is>
      </c>
      <c r="F171" s="1" t="inlineStr">
        <is>
          <t>ВСЕ</t>
        </is>
      </c>
      <c r="G171" s="1" t="inlineStr">
        <is>
          <t>Авито Саратов — поиск «Электрика под потолок» (услуги мастеров)</t>
        </is>
      </c>
      <c r="H171" s="43" t="n"/>
      <c r="I171" s="43" t="n"/>
      <c r="J171" s="44" t="n"/>
      <c r="K171" s="1" t="inlineStr">
        <is>
          <t>Авито Саратов</t>
        </is>
      </c>
      <c r="L171" s="1" t="inlineStr">
        <is>
          <t>Саратов</t>
        </is>
      </c>
      <c r="M171" s="45" t="inlineStr">
        <is>
          <t>https://www.avito.ru/saratov/predlozheniya_uslug?q=%D0%AD%D0%BB%D0%B5%D0%BA%D1%82%D1%80%D0%B8%D0%BA%D0%B0%20%D0%BF%D0%BE%D0%B4%20%D0%BF%D0%BE%D1%82%D0%BE%D0%BB%D0%BE%D0%BA%20%D0%A1%D0%B0%D1%80%D0%B0%D1%82%D0%BE%D0%B2</t>
        </is>
      </c>
      <c r="N171" s="1" t="inlineStr">
        <is>
          <t>не проверено</t>
        </is>
      </c>
      <c r="O171" s="1" t="inlineStr">
        <is>
          <t>2026-09-11</t>
        </is>
      </c>
      <c r="P171" s="47" t="inlineStr">
        <is>
          <t>уточнить</t>
        </is>
      </c>
      <c r="Q17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72">
      <c r="A172" s="1" t="inlineStr">
        <is>
          <t>1_Ремонт</t>
        </is>
      </c>
      <c r="B172" s="1" t="n">
        <v>42</v>
      </c>
      <c r="C172" s="1" t="inlineStr">
        <is>
          <t>7. Работы</t>
        </is>
      </c>
      <c r="D172" s="1" t="inlineStr">
        <is>
          <t>Ниша ГКЛ под скрытый карниз</t>
        </is>
      </c>
      <c r="E172" s="1" t="inlineStr">
        <is>
          <t>компл</t>
        </is>
      </c>
      <c r="F172" s="1" t="inlineStr">
        <is>
          <t>МИН</t>
        </is>
      </c>
      <c r="G172" s="1" t="inlineStr">
        <is>
          <t>фирма-дискаунтер (Корона-ремонт)</t>
        </is>
      </c>
      <c r="H172" s="43" t="n">
        <v>1080</v>
      </c>
      <c r="I172" s="43" t="n">
        <v>0</v>
      </c>
      <c r="J172" s="44" t="n"/>
      <c r="K172" s="1" t="inlineStr">
        <is>
          <t>Корона-ремонт Саратов</t>
        </is>
      </c>
      <c r="L172" s="1" t="inlineStr">
        <is>
          <t>Саратов</t>
        </is>
      </c>
      <c r="M172" s="45" t="inlineStr">
        <is>
          <t>https://saratov.korona-remont.ru/prices</t>
        </is>
      </c>
      <c r="N172" s="1" t="inlineStr">
        <is>
          <t>прайс-лист</t>
        </is>
      </c>
      <c r="O172" s="1" t="inlineStr">
        <is>
          <t>2026-09-11</t>
        </is>
      </c>
      <c r="P172" s="46" t="inlineStr">
        <is>
          <t>ок</t>
        </is>
      </c>
      <c r="Q172" s="1" t="inlineStr">
        <is>
          <t>«Устройство по мет.каркасу потолочного короба из ГКЛ» 360 ₽/мп × 3 п.м (ширина окна) = 1 080 ₽; смета МИН = 0</t>
        </is>
      </c>
    </row>
    <row r="173">
      <c r="A173" s="1" t="inlineStr">
        <is>
          <t>1_Ремонт</t>
        </is>
      </c>
      <c r="B173" s="1" t="n">
        <v>42</v>
      </c>
      <c r="C173" s="1" t="inlineStr">
        <is>
          <t>7. Работы</t>
        </is>
      </c>
      <c r="D173" s="1" t="inlineStr">
        <is>
          <t>Ниша ГКЛ под скрытый карниз</t>
        </is>
      </c>
      <c r="E173" s="1" t="inlineStr">
        <is>
          <t>компл</t>
        </is>
      </c>
      <c r="F173" s="1" t="inlineStr">
        <is>
          <t>СРЕД</t>
        </is>
      </c>
      <c r="G173" s="1" t="inlineStr">
        <is>
          <t>бригада с договором (Гарант.Строй Комплекс)</t>
        </is>
      </c>
      <c r="H173" s="43" t="n">
        <v>2196</v>
      </c>
      <c r="I173" s="43" t="n">
        <v>8000</v>
      </c>
      <c r="J173" s="48" t="n">
        <v>-72.5</v>
      </c>
      <c r="K173" s="1" t="inlineStr">
        <is>
          <t>Гарант.Строй Комплекс</t>
        </is>
      </c>
      <c r="L173" s="1" t="inlineStr">
        <is>
          <t>Саратов</t>
        </is>
      </c>
      <c r="M173" s="45" t="inlineStr">
        <is>
          <t>https://saratov.garantstroikompleks.ru/prajs-list</t>
        </is>
      </c>
      <c r="N173" s="1" t="inlineStr">
        <is>
          <t>прайс-лист</t>
        </is>
      </c>
      <c r="O173" s="1" t="inlineStr">
        <is>
          <t>2026-09-11</t>
        </is>
      </c>
      <c r="P173" s="46" t="inlineStr">
        <is>
          <t>ок</t>
        </is>
      </c>
      <c r="Q173" s="1" t="inlineStr">
        <is>
          <t>«Устройство короба из ГКЛ по мет.каркасу» 732 ₽/п.м × 3 п.м = 2 196 ₽; Profi.ru Саратов: короб ГКЛ на потолке 300–980 ₽/м²</t>
        </is>
      </c>
    </row>
    <row r="174">
      <c r="A174" s="1" t="inlineStr">
        <is>
          <t>1_Ремонт</t>
        </is>
      </c>
      <c r="B174" s="1" t="n">
        <v>42</v>
      </c>
      <c r="C174" s="1" t="inlineStr">
        <is>
          <t>7. Работы</t>
        </is>
      </c>
      <c r="D174" s="1" t="inlineStr">
        <is>
          <t>Ниша ГКЛ под скрытый карниз</t>
        </is>
      </c>
      <c r="E174" s="1" t="inlineStr">
        <is>
          <t>компл</t>
        </is>
      </c>
      <c r="F174" s="1" t="inlineStr">
        <is>
          <t>МАКС</t>
        </is>
      </c>
      <c r="G174" s="1" t="inlineStr">
        <is>
          <t>потолочная компания (ниша в натяжном потолке под ключ)</t>
        </is>
      </c>
      <c r="H174" s="43" t="n"/>
      <c r="I174" s="43" t="n">
        <v>15000</v>
      </c>
      <c r="J174" s="44" t="n"/>
      <c r="K174" s="1" t="inlineStr">
        <is>
          <t>РВС-Сервис (potolki-rvs.ru)</t>
        </is>
      </c>
      <c r="L174" s="1" t="inlineStr">
        <is>
          <t>Саратов</t>
        </is>
      </c>
      <c r="M174" s="45" t="inlineStr">
        <is>
          <t>https://potolki-rvs.ru/potolki/nisha-pod-karniz.html</t>
        </is>
      </c>
      <c r="N174" s="1" t="inlineStr">
        <is>
          <t>страница</t>
        </is>
      </c>
      <c r="O174" s="1" t="inlineStr">
        <is>
          <t>2026-09-11</t>
        </is>
      </c>
      <c r="P174" s="47" t="inlineStr">
        <is>
          <t>уточнить</t>
        </is>
      </c>
      <c r="Q174" s="1" t="inlineStr">
        <is>
          <t>Отдельной цены за п.м ниши нет — идёт в составе потолка под ключ (примеры: 17 м² со скрытым карнизом — 18 900 ₽, 10 м² спальня — 21 350 ₽, включая полотно 200 ₽/м² и монтаж). Запросить расчёт</t>
        </is>
      </c>
    </row>
    <row r="175">
      <c r="A175" s="1" t="inlineStr">
        <is>
          <t>1_Ремонт</t>
        </is>
      </c>
      <c r="B175" s="1" t="n">
        <v>42</v>
      </c>
      <c r="C175" s="1" t="inlineStr">
        <is>
          <t>7. Работы</t>
        </is>
      </c>
      <c r="D175" s="1" t="inlineStr">
        <is>
          <t>Ниша ГКЛ под скрытый карниз</t>
        </is>
      </c>
      <c r="E175" s="1" t="inlineStr">
        <is>
          <t>компл</t>
        </is>
      </c>
      <c r="F175" s="1" t="inlineStr">
        <is>
          <t>ВСЕ</t>
        </is>
      </c>
      <c r="G175" s="1" t="inlineStr">
        <is>
          <t>Авито Саратов — поиск «Ниша ГКЛ под скрытый карниз» (услуги мастеров)</t>
        </is>
      </c>
      <c r="H175" s="43" t="n"/>
      <c r="I175" s="43" t="n"/>
      <c r="J175" s="44" t="n"/>
      <c r="K175" s="1" t="inlineStr">
        <is>
          <t>Авито Саратов</t>
        </is>
      </c>
      <c r="L175" s="1" t="inlineStr">
        <is>
          <t>Саратов</t>
        </is>
      </c>
      <c r="M175" s="45" t="inlineStr">
        <is>
          <t>https://www.avito.ru/saratov/predlozheniya_uslug?q=%D0%9D%D0%B8%D1%88%D0%B0%20%D0%93%D0%9A%D0%9B%20%D0%BF%D0%BE%D0%B4%20%D1%81%D0%BA%D1%80%D1%8B%D1%82%D1%8B%D0%B9%20%D0%BA%D0%B0%D1%80%D0%BD%D0%B8%D0%B7%20%D0%A1%D0%B0%D1%80%D0%B0%D1%82%D0%BE%D0%B2</t>
        </is>
      </c>
      <c r="N175" s="1" t="inlineStr">
        <is>
          <t>не проверено</t>
        </is>
      </c>
      <c r="O175" s="1" t="inlineStr">
        <is>
          <t>2026-09-11</t>
        </is>
      </c>
      <c r="P175" s="47" t="inlineStr">
        <is>
          <t>уточнить</t>
        </is>
      </c>
      <c r="Q17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76">
      <c r="A176" s="1" t="inlineStr">
        <is>
          <t>1_Ремонт</t>
        </is>
      </c>
      <c r="B176" s="1" t="n">
        <v>43</v>
      </c>
      <c r="C176" s="1" t="inlineStr">
        <is>
          <t>7. Работы</t>
        </is>
      </c>
      <c r="D176" s="1" t="inlineStr">
        <is>
          <t>Монтаж натяжного потолка</t>
        </is>
      </c>
      <c r="E176" s="1" t="inlineStr">
        <is>
          <t>компл</t>
        </is>
      </c>
      <c r="F176" s="1" t="inlineStr">
        <is>
          <t>МИН</t>
        </is>
      </c>
      <c r="G176" s="1" t="inlineStr">
        <is>
          <t>потолочная компания, монтаж входит в цену полотна</t>
        </is>
      </c>
      <c r="H176" s="43" t="n">
        <v>0</v>
      </c>
      <c r="I176" s="43" t="n">
        <v>0</v>
      </c>
      <c r="J176" s="44" t="n"/>
      <c r="K176" s="1" t="inlineStr">
        <is>
          <t>РВС-Сервис (potolki-rvs.ru)</t>
        </is>
      </c>
      <c r="L176" s="1" t="inlineStr">
        <is>
          <t>Саратов</t>
        </is>
      </c>
      <c r="M176" s="45" t="inlineStr">
        <is>
          <t>https://potolki-rvs.ru/ceny</t>
        </is>
      </c>
      <c r="N176" s="1" t="inlineStr">
        <is>
          <t>страница</t>
        </is>
      </c>
      <c r="O176" s="1" t="inlineStr">
        <is>
          <t>2026-09-11</t>
        </is>
      </c>
      <c r="P176" s="46" t="inlineStr">
        <is>
          <t>ок</t>
        </is>
      </c>
      <c r="Q176" s="1" t="inlineStr">
        <is>
          <t>ПВХ матовый/сатин HALEAD 200 ₽/м² «установка включена»; отдельная плата за монтаж = 0. Доп.: светильник 420 ₽/шт, обвод трубы от 480 ₽</t>
        </is>
      </c>
    </row>
    <row r="177">
      <c r="A177" s="1" t="inlineStr">
        <is>
          <t>1_Ремонт</t>
        </is>
      </c>
      <c r="B177" s="1" t="n">
        <v>43</v>
      </c>
      <c r="C177" s="1" t="inlineStr">
        <is>
          <t>7. Работы</t>
        </is>
      </c>
      <c r="D177" s="1" t="inlineStr">
        <is>
          <t>Монтаж натяжного потолка</t>
        </is>
      </c>
      <c r="E177" s="1" t="inlineStr">
        <is>
          <t>компл</t>
        </is>
      </c>
      <c r="F177" s="1" t="inlineStr">
        <is>
          <t>СРЕД</t>
        </is>
      </c>
      <c r="G177" s="1" t="inlineStr">
        <is>
          <t>потолочная компания, средняя по городу с работой</t>
        </is>
      </c>
      <c r="H177" s="43" t="n">
        <v>0</v>
      </c>
      <c r="I177" s="43" t="n">
        <v>0</v>
      </c>
      <c r="J177" s="44" t="n"/>
      <c r="K177" s="1" t="inlineStr">
        <is>
          <t>РВС-Сервис (potolki-rvs.ru)</t>
        </is>
      </c>
      <c r="L177" s="1" t="inlineStr">
        <is>
          <t>Саратов</t>
        </is>
      </c>
      <c r="M177" s="45" t="inlineStr">
        <is>
          <t>https://potolki-rvs.ru/ceny</t>
        </is>
      </c>
      <c r="N177" s="1" t="inlineStr">
        <is>
          <t>страница</t>
        </is>
      </c>
      <c r="O177" s="1" t="inlineStr">
        <is>
          <t>2026-09-11</t>
        </is>
      </c>
      <c r="P177" s="46" t="inlineStr">
        <is>
          <t>ок</t>
        </is>
      </c>
      <c r="Q177" s="1" t="inlineStr">
        <is>
          <t>«Средняя цена по городу 450 ₽/1 кв.м с работой» — монтаж внутри цены м², отдельно 0</t>
        </is>
      </c>
    </row>
    <row r="178">
      <c r="A178" s="1" t="inlineStr">
        <is>
          <t>1_Ремонт</t>
        </is>
      </c>
      <c r="B178" s="1" t="n">
        <v>43</v>
      </c>
      <c r="C178" s="1" t="inlineStr">
        <is>
          <t>7. Работы</t>
        </is>
      </c>
      <c r="D178" s="1" t="inlineStr">
        <is>
          <t>Монтаж натяжного потолка</t>
        </is>
      </c>
      <c r="E178" s="1" t="inlineStr">
        <is>
          <t>компл</t>
        </is>
      </c>
      <c r="F178" s="1" t="inlineStr">
        <is>
          <t>МАКС</t>
        </is>
      </c>
      <c r="G178" s="1" t="inlineStr">
        <is>
          <t>потолочная компания, тканевый потолок с установкой</t>
        </is>
      </c>
      <c r="H178" s="43" t="n">
        <v>0</v>
      </c>
      <c r="I178" s="43" t="n">
        <v>0</v>
      </c>
      <c r="J178" s="44" t="n"/>
      <c r="K178" s="1" t="inlineStr">
        <is>
          <t>РВС-Сервис (potolki-rvs.ru)</t>
        </is>
      </c>
      <c r="L178" s="1" t="inlineStr">
        <is>
          <t>Саратов</t>
        </is>
      </c>
      <c r="M178" s="45" t="inlineStr">
        <is>
          <t>https://potolki-rvs.ru/potolki/nisha-pod-karniz.html</t>
        </is>
      </c>
      <c r="N178" s="1" t="inlineStr">
        <is>
          <t>страница</t>
        </is>
      </c>
      <c r="O178" s="1" t="inlineStr">
        <is>
          <t>2026-09-11</t>
        </is>
      </c>
      <c r="P178" s="46" t="inlineStr">
        <is>
          <t>ок</t>
        </is>
      </c>
      <c r="Q178" s="1" t="inlineStr">
        <is>
          <t>Тканевый Descor 1 800 ₽/м² с установкой; все примеры «под ключ» включают монтаж — отдельной строки за монтаж нет, смета 0 корректна</t>
        </is>
      </c>
    </row>
    <row r="179">
      <c r="A179" s="1" t="inlineStr">
        <is>
          <t>1_Ремонт</t>
        </is>
      </c>
      <c r="B179" s="1" t="n">
        <v>43</v>
      </c>
      <c r="C179" s="1" t="inlineStr">
        <is>
          <t>7. Работы</t>
        </is>
      </c>
      <c r="D179" s="1" t="inlineStr">
        <is>
          <t>Монтаж натяжного потолка</t>
        </is>
      </c>
      <c r="E179" s="1" t="inlineStr">
        <is>
          <t>компл</t>
        </is>
      </c>
      <c r="F179" s="1" t="inlineStr">
        <is>
          <t>ВСЕ</t>
        </is>
      </c>
      <c r="G179" s="1" t="inlineStr">
        <is>
          <t>Авито Саратов — поиск «Монтаж натяжного потолка» (услуги мастеров)</t>
        </is>
      </c>
      <c r="H179" s="43" t="n"/>
      <c r="I179" s="43" t="n"/>
      <c r="J179" s="44" t="n"/>
      <c r="K179" s="1" t="inlineStr">
        <is>
          <t>Авито Саратов</t>
        </is>
      </c>
      <c r="L179" s="1" t="inlineStr">
        <is>
          <t>Саратов</t>
        </is>
      </c>
      <c r="M179" s="45" t="inlineStr">
        <is>
          <t>https://www.avito.ru/saratov/predlozheniya_uslug?q=%D0%9C%D0%BE%D0%BD%D1%82%D0%B0%D0%B6%20%D0%BD%D0%B0%D1%82%D1%8F%D0%B6%D0%BD%D0%BE%D0%B3%D0%BE%20%D0%BF%D0%BE%D1%82%D0%BE%D0%BB%D0%BA%D0%B0%20%D0%A1%D0%B0%D1%80%D0%B0%D1%82%D0%BE%D0%B2</t>
        </is>
      </c>
      <c r="N179" s="1" t="inlineStr">
        <is>
          <t>не проверено</t>
        </is>
      </c>
      <c r="O179" s="1" t="inlineStr">
        <is>
          <t>2026-09-11</t>
        </is>
      </c>
      <c r="P179" s="47" t="inlineStr">
        <is>
          <t>уточнить</t>
        </is>
      </c>
      <c r="Q17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80">
      <c r="A180" s="1" t="inlineStr">
        <is>
          <t>1_Ремонт</t>
        </is>
      </c>
      <c r="B180" s="1" t="n">
        <v>44</v>
      </c>
      <c r="C180" s="1" t="inlineStr">
        <is>
          <t>7. Работы</t>
        </is>
      </c>
      <c r="D180" s="1" t="inlineStr">
        <is>
          <t>Установка унитаза</t>
        </is>
      </c>
      <c r="E180" s="1" t="inlineStr">
        <is>
          <t>шт</t>
        </is>
      </c>
      <c r="F180" s="1" t="inlineStr">
        <is>
          <t>МИН</t>
        </is>
      </c>
      <c r="G180" s="1" t="inlineStr">
        <is>
          <t>частник Profi.ru Саратов</t>
        </is>
      </c>
      <c r="H180" s="43" t="n">
        <v>1000</v>
      </c>
      <c r="I180" s="43" t="n">
        <v>2500</v>
      </c>
      <c r="J180" s="48" t="n">
        <v>-60</v>
      </c>
      <c r="K180" s="1" t="inlineStr">
        <is>
          <t>Profi.ru Саратов</t>
        </is>
      </c>
      <c r="L180" s="1" t="inlineStr">
        <is>
          <t>Саратов</t>
        </is>
      </c>
      <c r="M180" s="45" t="inlineStr">
        <is>
          <t>https://profi.ru/geo-saratov/remont/santehnika/montazh-santehnicheskogo-oborudovaniya/ustanovka-unitaza/</t>
        </is>
      </c>
      <c r="N180" s="1" t="inlineStr">
        <is>
          <t>сниппет</t>
        </is>
      </c>
      <c r="O180" s="1" t="inlineStr">
        <is>
          <t>2026-09-11</t>
        </is>
      </c>
      <c r="P180" s="46" t="inlineStr">
        <is>
          <t>ок</t>
        </is>
      </c>
      <c r="Q180" s="1" t="inlineStr">
        <is>
          <t>Profi: «от 1000, в среднем 1500, максимум 3000 ₽/шт»; Корона-ремонт монтаж унитаза 660 ₽</t>
        </is>
      </c>
    </row>
    <row r="181">
      <c r="A181" s="1" t="inlineStr">
        <is>
          <t>1_Ремонт</t>
        </is>
      </c>
      <c r="B181" s="1" t="n">
        <v>44</v>
      </c>
      <c r="C181" s="1" t="inlineStr">
        <is>
          <t>7. Работы</t>
        </is>
      </c>
      <c r="D181" s="1" t="inlineStr">
        <is>
          <t>Установка унитаза</t>
        </is>
      </c>
      <c r="E181" s="1" t="inlineStr">
        <is>
          <t>шт</t>
        </is>
      </c>
      <c r="F181" s="1" t="inlineStr">
        <is>
          <t>СРЕД</t>
        </is>
      </c>
      <c r="G181" s="1" t="inlineStr">
        <is>
          <t>сервис мастеров d-mastera (гарантия)</t>
        </is>
      </c>
      <c r="H181" s="43" t="n">
        <v>1500</v>
      </c>
      <c r="I181" s="43" t="n">
        <v>4000</v>
      </c>
      <c r="J181" s="48" t="n">
        <v>-62.5</v>
      </c>
      <c r="K181" s="1" t="inlineStr">
        <is>
          <t>d-mastera Саратов</t>
        </is>
      </c>
      <c r="L181" s="1" t="inlineStr">
        <is>
          <t>Саратов</t>
        </is>
      </c>
      <c r="M181" s="45" t="inlineStr">
        <is>
          <t>https://saratov.d-mastera.ru/tseny-na-uslugi-santehnika/</t>
        </is>
      </c>
      <c r="N181" s="1" t="inlineStr">
        <is>
          <t>прайс-лист</t>
        </is>
      </c>
      <c r="O181" s="1" t="inlineStr">
        <is>
          <t>2026-09-11</t>
        </is>
      </c>
      <c r="P181" s="46" t="inlineStr">
        <is>
          <t>ок</t>
        </is>
      </c>
      <c r="Q181" s="1" t="inlineStr">
        <is>
          <t>«Установка напольного унитаза» 1 500 ₽; Рэмо64 импортный от 3 000 ₽</t>
        </is>
      </c>
    </row>
    <row r="182">
      <c r="A182" s="1" t="inlineStr">
        <is>
          <t>1_Ремонт</t>
        </is>
      </c>
      <c r="B182" s="1" t="n">
        <v>44</v>
      </c>
      <c r="C182" s="1" t="inlineStr">
        <is>
          <t>7. Работы</t>
        </is>
      </c>
      <c r="D182" s="1" t="inlineStr">
        <is>
          <t>Установка унитаза</t>
        </is>
      </c>
      <c r="E182" s="1" t="inlineStr">
        <is>
          <t>шт</t>
        </is>
      </c>
      <c r="F182" s="1" t="inlineStr">
        <is>
          <t>МАКС</t>
        </is>
      </c>
      <c r="G182" s="1" t="inlineStr">
        <is>
          <t>ремонтная фирма (Рэмо64), с инсталляцией</t>
        </is>
      </c>
      <c r="H182" s="43" t="n">
        <v>4000</v>
      </c>
      <c r="I182" s="43" t="n">
        <v>9000</v>
      </c>
      <c r="J182" s="48" t="n">
        <v>-55.6</v>
      </c>
      <c r="K182" s="1" t="inlineStr">
        <is>
          <t>Рэмо64</t>
        </is>
      </c>
      <c r="L182" s="1" t="inlineStr">
        <is>
          <t>Саратов</t>
        </is>
      </c>
      <c r="M182" s="45" t="inlineStr">
        <is>
          <t>https://remo64.ru/price_san.php</t>
        </is>
      </c>
      <c r="N182" s="1" t="inlineStr">
        <is>
          <t>прайс-лист</t>
        </is>
      </c>
      <c r="O182" s="1" t="inlineStr">
        <is>
          <t>2026-09-11</t>
        </is>
      </c>
      <c r="P182" s="46" t="inlineStr">
        <is>
          <t>ок</t>
        </is>
      </c>
      <c r="Q182" s="1" t="inlineStr">
        <is>
          <t>«Установка унитаза навесного (с инсталляцией)» от 4 000 ₽; короб ГКЛ под инсталляцию отдельно — Гарант 732 ₽/п.м (~2 п.м → +1 500), итого ~5 500 ₽ против 9 000 в смете</t>
        </is>
      </c>
    </row>
    <row r="183">
      <c r="A183" s="1" t="inlineStr">
        <is>
          <t>1_Ремонт</t>
        </is>
      </c>
      <c r="B183" s="1" t="n">
        <v>44</v>
      </c>
      <c r="C183" s="1" t="inlineStr">
        <is>
          <t>7. Работы</t>
        </is>
      </c>
      <c r="D183" s="1" t="inlineStr">
        <is>
          <t>Установка унитаза</t>
        </is>
      </c>
      <c r="E183" s="1" t="inlineStr">
        <is>
          <t>шт</t>
        </is>
      </c>
      <c r="F183" s="1" t="inlineStr">
        <is>
          <t>ВСЕ</t>
        </is>
      </c>
      <c r="G183" s="1" t="inlineStr">
        <is>
          <t>Авито Саратов — поиск «Установка унитаза» (услуги мастеров)</t>
        </is>
      </c>
      <c r="H183" s="43" t="n"/>
      <c r="I183" s="43" t="n"/>
      <c r="J183" s="44" t="n"/>
      <c r="K183" s="1" t="inlineStr">
        <is>
          <t>Авито Саратов</t>
        </is>
      </c>
      <c r="L183" s="1" t="inlineStr">
        <is>
          <t>Саратов</t>
        </is>
      </c>
      <c r="M183" s="45" t="inlineStr">
        <is>
          <t>https://www.avito.ru/saratov/predlozheniya_uslug?q=%D0%A3%D1%81%D1%82%D0%B0%D0%BD%D0%BE%D0%B2%D0%BA%D0%B0%20%D1%83%D0%BD%D0%B8%D1%82%D0%B0%D0%B7%D0%B0%20%D0%A1%D0%B0%D1%80%D0%B0%D1%82%D0%BE%D0%B2</t>
        </is>
      </c>
      <c r="N183" s="1" t="inlineStr">
        <is>
          <t>не проверено</t>
        </is>
      </c>
      <c r="O183" s="1" t="inlineStr">
        <is>
          <t>2026-09-11</t>
        </is>
      </c>
      <c r="P183" s="47" t="inlineStr">
        <is>
          <t>уточнить</t>
        </is>
      </c>
      <c r="Q18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84">
      <c r="A184" s="1" t="inlineStr">
        <is>
          <t>1_Ремонт</t>
        </is>
      </c>
      <c r="B184" s="1" t="n">
        <v>45</v>
      </c>
      <c r="C184" s="1" t="inlineStr">
        <is>
          <t>7. Работы</t>
        </is>
      </c>
      <c r="D184" s="1" t="inlineStr">
        <is>
          <t>Установка раковины со смесителем и тумбой</t>
        </is>
      </c>
      <c r="E184" s="1" t="inlineStr">
        <is>
          <t>шт</t>
        </is>
      </c>
      <c r="F184" s="1" t="inlineStr">
        <is>
          <t>МИН</t>
        </is>
      </c>
      <c r="G184" s="1" t="inlineStr">
        <is>
          <t>фирма-дискаунтер (Корона-ремонт)</t>
        </is>
      </c>
      <c r="H184" s="43" t="n">
        <v>990</v>
      </c>
      <c r="I184" s="43" t="n">
        <v>2500</v>
      </c>
      <c r="J184" s="48" t="n">
        <v>-60.4</v>
      </c>
      <c r="K184" s="1" t="inlineStr">
        <is>
          <t>Корона-ремонт Саратов</t>
        </is>
      </c>
      <c r="L184" s="1" t="inlineStr">
        <is>
          <t>Саратов</t>
        </is>
      </c>
      <c r="M184" s="45" t="inlineStr">
        <is>
          <t>https://saratov.korona-remont.ru/prices</t>
        </is>
      </c>
      <c r="N184" s="1" t="inlineStr">
        <is>
          <t>прайс-лист</t>
        </is>
      </c>
      <c r="O184" s="1" t="inlineStr">
        <is>
          <t>2026-09-11</t>
        </is>
      </c>
      <c r="P184" s="46" t="inlineStr">
        <is>
          <t>ок</t>
        </is>
      </c>
      <c r="Q184" s="1" t="inlineStr">
        <is>
          <t>Монтаж раковины 660 + монтаж смесителя 330 = 990 ₽ (тумба отдельной строкой нет)</t>
        </is>
      </c>
    </row>
    <row r="185">
      <c r="A185" s="1" t="inlineStr">
        <is>
          <t>1_Ремонт</t>
        </is>
      </c>
      <c r="B185" s="1" t="n">
        <v>45</v>
      </c>
      <c r="C185" s="1" t="inlineStr">
        <is>
          <t>7. Работы</t>
        </is>
      </c>
      <c r="D185" s="1" t="inlineStr">
        <is>
          <t>Установка раковины со смесителем и тумбой</t>
        </is>
      </c>
      <c r="E185" s="1" t="inlineStr">
        <is>
          <t>шт</t>
        </is>
      </c>
      <c r="F185" s="1" t="inlineStr">
        <is>
          <t>СРЕД</t>
        </is>
      </c>
      <c r="G185" s="1" t="inlineStr">
        <is>
          <t>ремонтная фирма (Рэмо64)</t>
        </is>
      </c>
      <c r="H185" s="43" t="n">
        <v>3500</v>
      </c>
      <c r="I185" s="43" t="n">
        <v>4000</v>
      </c>
      <c r="J185" s="44" t="n">
        <v>-12.5</v>
      </c>
      <c r="K185" s="1" t="inlineStr">
        <is>
          <t>Рэмо64</t>
        </is>
      </c>
      <c r="L185" s="1" t="inlineStr">
        <is>
          <t>Саратов</t>
        </is>
      </c>
      <c r="M185" s="45" t="inlineStr">
        <is>
          <t>https://remo64.ru/price_san.php</t>
        </is>
      </c>
      <c r="N185" s="1" t="inlineStr">
        <is>
          <t>прайс-лист</t>
        </is>
      </c>
      <c r="O185" s="1" t="inlineStr">
        <is>
          <t>2026-09-11</t>
        </is>
      </c>
      <c r="P185" s="46" t="inlineStr">
        <is>
          <t>ок</t>
        </is>
      </c>
      <c r="Q185" s="1" t="inlineStr">
        <is>
          <t>«Установка раковины с тумбой (мойдодыр)» 2 500 + «установка смесителя на раковину» от 1 000 = 3 500 ₽; d-mastera: раковина с тумбой 1 500 + смеситель 450 = 1 950</t>
        </is>
      </c>
    </row>
    <row r="186">
      <c r="A186" s="1" t="inlineStr">
        <is>
          <t>1_Ремонт</t>
        </is>
      </c>
      <c r="B186" s="1" t="n">
        <v>45</v>
      </c>
      <c r="C186" s="1" t="inlineStr">
        <is>
          <t>7. Работы</t>
        </is>
      </c>
      <c r="D186" s="1" t="inlineStr">
        <is>
          <t>Установка раковины со смесителем и тумбой</t>
        </is>
      </c>
      <c r="E186" s="1" t="inlineStr">
        <is>
          <t>шт</t>
        </is>
      </c>
      <c r="F186" s="1" t="inlineStr">
        <is>
          <t>МАКС</t>
        </is>
      </c>
      <c r="G186" s="1" t="inlineStr">
        <is>
          <t>бригада с договором (Гарант.Строй Комплекс)</t>
        </is>
      </c>
      <c r="H186" s="43" t="n">
        <v>3085</v>
      </c>
      <c r="I186" s="43" t="n">
        <v>6000</v>
      </c>
      <c r="J186" s="48" t="n">
        <v>-48.6</v>
      </c>
      <c r="K186" s="1" t="inlineStr">
        <is>
          <t>Гарант.Строй Комплекс</t>
        </is>
      </c>
      <c r="L186" s="1" t="inlineStr">
        <is>
          <t>Саратов</t>
        </is>
      </c>
      <c r="M186" s="45" t="inlineStr">
        <is>
          <t>https://saratov.garantstroikompleks.ru/prajs-list</t>
        </is>
      </c>
      <c r="N186" s="1" t="inlineStr">
        <is>
          <t>прайс-лист</t>
        </is>
      </c>
      <c r="O186" s="1" t="inlineStr">
        <is>
          <t>2026-09-11</t>
        </is>
      </c>
      <c r="P186" s="46" t="inlineStr">
        <is>
          <t>ок</t>
        </is>
      </c>
      <c r="Q186" s="1" t="inlineStr">
        <is>
          <t>«Установка раковины с тумбой» 2 140 + «установка смесителя» 945 = 3 085 ₽</t>
        </is>
      </c>
    </row>
    <row r="187">
      <c r="A187" s="1" t="inlineStr">
        <is>
          <t>1_Ремонт</t>
        </is>
      </c>
      <c r="B187" s="1" t="n">
        <v>45</v>
      </c>
      <c r="C187" s="1" t="inlineStr">
        <is>
          <t>7. Работы</t>
        </is>
      </c>
      <c r="D187" s="1" t="inlineStr">
        <is>
          <t>Установка раковины со смесителем и тумбой</t>
        </is>
      </c>
      <c r="E187" s="1" t="inlineStr">
        <is>
          <t>шт</t>
        </is>
      </c>
      <c r="F187" s="1" t="inlineStr">
        <is>
          <t>ВСЕ</t>
        </is>
      </c>
      <c r="G187" s="1" t="inlineStr">
        <is>
          <t>Авито Саратов — поиск «Установка раковины со смесителем и тумбой» (услуги мастеров)</t>
        </is>
      </c>
      <c r="H187" s="43" t="n"/>
      <c r="I187" s="43" t="n"/>
      <c r="J187" s="44" t="n"/>
      <c r="K187" s="1" t="inlineStr">
        <is>
          <t>Авито Саратов</t>
        </is>
      </c>
      <c r="L187" s="1" t="inlineStr">
        <is>
          <t>Саратов</t>
        </is>
      </c>
      <c r="M187" s="45" t="inlineStr">
        <is>
          <t>https://www.avito.ru/saratov/predlozheniya_uslug?q=%D0%A3%D1%81%D1%82%D0%B0%D0%BD%D0%BE%D0%B2%D0%BA%D0%B0%20%D1%80%D0%B0%D0%BA%D0%BE%D0%B2%D0%B8%D0%BD%D1%8B%20%D1%81%D0%BE%20%D1%81%D0%BC%D0%B5%D1%81%D0%B8%D1%82%D0%B5%D0%BB%D0%B5%D0%BC%20%D0%B8%20%D1%82%D1%83%D0%BC%D0%B1%D0%BE%D0%B9%20%D0%A1%D0%B0%D1%80%D0%B0%D1%82%D0%BE%D0%B2</t>
        </is>
      </c>
      <c r="N187" s="1" t="inlineStr">
        <is>
          <t>не проверено</t>
        </is>
      </c>
      <c r="O187" s="1" t="inlineStr">
        <is>
          <t>2026-09-11</t>
        </is>
      </c>
      <c r="P187" s="47" t="inlineStr">
        <is>
          <t>уточнить</t>
        </is>
      </c>
      <c r="Q18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88">
      <c r="A188" s="1" t="inlineStr">
        <is>
          <t>1_Ремонт</t>
        </is>
      </c>
      <c r="B188" s="1" t="n">
        <v>46</v>
      </c>
      <c r="C188" s="1" t="inlineStr">
        <is>
          <t>7. Работы</t>
        </is>
      </c>
      <c r="D188" s="1" t="inlineStr">
        <is>
          <t>Подключение душевого смесителя/стойки</t>
        </is>
      </c>
      <c r="E188" s="1" t="inlineStr">
        <is>
          <t>компл</t>
        </is>
      </c>
      <c r="F188" s="1" t="inlineStr">
        <is>
          <t>МИН</t>
        </is>
      </c>
      <c r="G188" s="1" t="inlineStr">
        <is>
          <t>фирма-дискаунтер (Корона-ремонт)</t>
        </is>
      </c>
      <c r="H188" s="43" t="n">
        <v>330</v>
      </c>
      <c r="I188" s="43" t="n">
        <v>2000</v>
      </c>
      <c r="J188" s="48" t="n">
        <v>-83.5</v>
      </c>
      <c r="K188" s="1" t="inlineStr">
        <is>
          <t>Корона-ремонт Саратов</t>
        </is>
      </c>
      <c r="L188" s="1" t="inlineStr">
        <is>
          <t>Саратов</t>
        </is>
      </c>
      <c r="M188" s="45" t="inlineStr">
        <is>
          <t>https://saratov.korona-remont.ru/prices</t>
        </is>
      </c>
      <c r="N188" s="1" t="inlineStr">
        <is>
          <t>прайс-лист</t>
        </is>
      </c>
      <c r="O188" s="1" t="inlineStr">
        <is>
          <t>2026-09-11</t>
        </is>
      </c>
      <c r="P188" s="46" t="inlineStr">
        <is>
          <t>ок</t>
        </is>
      </c>
      <c r="Q188" s="1" t="inlineStr">
        <is>
          <t>«Монтаж смесителя» 330 ₽/шт</t>
        </is>
      </c>
    </row>
    <row r="189">
      <c r="A189" s="1" t="inlineStr">
        <is>
          <t>1_Ремонт</t>
        </is>
      </c>
      <c r="B189" s="1" t="n">
        <v>46</v>
      </c>
      <c r="C189" s="1" t="inlineStr">
        <is>
          <t>7. Работы</t>
        </is>
      </c>
      <c r="D189" s="1" t="inlineStr">
        <is>
          <t>Подключение душевого смесителя/стойки</t>
        </is>
      </c>
      <c r="E189" s="1" t="inlineStr">
        <is>
          <t>компл</t>
        </is>
      </c>
      <c r="F189" s="1" t="inlineStr">
        <is>
          <t>СРЕД</t>
        </is>
      </c>
      <c r="G189" s="1" t="inlineStr">
        <is>
          <t>сервис мастеров d-mastera</t>
        </is>
      </c>
      <c r="H189" s="43" t="n">
        <v>950</v>
      </c>
      <c r="I189" s="43" t="n">
        <v>3500</v>
      </c>
      <c r="J189" s="48" t="n">
        <v>-72.90000000000001</v>
      </c>
      <c r="K189" s="1" t="inlineStr">
        <is>
          <t>d-mastera Саратов</t>
        </is>
      </c>
      <c r="L189" s="1" t="inlineStr">
        <is>
          <t>Саратов</t>
        </is>
      </c>
      <c r="M189" s="45" t="inlineStr">
        <is>
          <t>https://saratov.d-mastera.ru/tseny-na-uslugi-santehnika/</t>
        </is>
      </c>
      <c r="N189" s="1" t="inlineStr">
        <is>
          <t>прайс-лист</t>
        </is>
      </c>
      <c r="O189" s="1" t="inlineStr">
        <is>
          <t>2026-09-11</t>
        </is>
      </c>
      <c r="P189" s="46" t="inlineStr">
        <is>
          <t>ок</t>
        </is>
      </c>
      <c r="Q189" s="1" t="inlineStr">
        <is>
          <t>«Монтаж смесителя на душевую кабину» 950 ₽; смеситель на ванну 450 ₽</t>
        </is>
      </c>
    </row>
    <row r="190">
      <c r="A190" s="1" t="inlineStr">
        <is>
          <t>1_Ремонт</t>
        </is>
      </c>
      <c r="B190" s="1" t="n">
        <v>46</v>
      </c>
      <c r="C190" s="1" t="inlineStr">
        <is>
          <t>7. Работы</t>
        </is>
      </c>
      <c r="D190" s="1" t="inlineStr">
        <is>
          <t>Подключение душевого смесителя/стойки</t>
        </is>
      </c>
      <c r="E190" s="1" t="inlineStr">
        <is>
          <t>компл</t>
        </is>
      </c>
      <c r="F190" s="1" t="inlineStr">
        <is>
          <t>МАКС</t>
        </is>
      </c>
      <c r="G190" s="1" t="inlineStr">
        <is>
          <t>бригада с договором (Гарант.Строй Комплекс)</t>
        </is>
      </c>
      <c r="H190" s="43" t="n">
        <v>945</v>
      </c>
      <c r="I190" s="43" t="n">
        <v>8000</v>
      </c>
      <c r="J190" s="48" t="n">
        <v>-88.2</v>
      </c>
      <c r="K190" s="1" t="inlineStr">
        <is>
          <t>Гарант.Строй Комплекс</t>
        </is>
      </c>
      <c r="L190" s="1" t="inlineStr">
        <is>
          <t>Саратов</t>
        </is>
      </c>
      <c r="M190" s="45" t="inlineStr">
        <is>
          <t>https://saratov.garantstroikompleks.ru/prajs-list</t>
        </is>
      </c>
      <c r="N190" s="1" t="inlineStr">
        <is>
          <t>прайс-лист</t>
        </is>
      </c>
      <c r="O190" s="1" t="inlineStr">
        <is>
          <t>2026-09-11</t>
        </is>
      </c>
      <c r="P190" s="46" t="inlineStr">
        <is>
          <t>ок</t>
        </is>
      </c>
      <c r="Q190" s="1" t="inlineStr">
        <is>
          <t>«Установка смесителя» 945 ₽; Рэмо64 от 1 000 ₽. Смета МАКС 8 000 в 8 раз выше любого прайса</t>
        </is>
      </c>
    </row>
    <row r="191">
      <c r="A191" s="1" t="inlineStr">
        <is>
          <t>1_Ремонт</t>
        </is>
      </c>
      <c r="B191" s="1" t="n">
        <v>46</v>
      </c>
      <c r="C191" s="1" t="inlineStr">
        <is>
          <t>7. Работы</t>
        </is>
      </c>
      <c r="D191" s="1" t="inlineStr">
        <is>
          <t>Подключение душевого смесителя/стойки</t>
        </is>
      </c>
      <c r="E191" s="1" t="inlineStr">
        <is>
          <t>компл</t>
        </is>
      </c>
      <c r="F191" s="1" t="inlineStr">
        <is>
          <t>ВСЕ</t>
        </is>
      </c>
      <c r="G191" s="1" t="inlineStr">
        <is>
          <t>Авито Саратов — поиск «Подключение душевого смесителя/стойки» (услуги мастеров)</t>
        </is>
      </c>
      <c r="H191" s="43" t="n"/>
      <c r="I191" s="43" t="n"/>
      <c r="J191" s="44" t="n"/>
      <c r="K191" s="1" t="inlineStr">
        <is>
          <t>Авито Саратов</t>
        </is>
      </c>
      <c r="L191" s="1" t="inlineStr">
        <is>
          <t>Саратов</t>
        </is>
      </c>
      <c r="M191" s="45" t="inlineStr">
        <is>
          <t>https://www.avito.ru/saratov/predlozheniya_uslug?q=%D0%9F%D0%BE%D0%B4%D0%BA%D0%BB%D1%8E%D1%87%D0%B5%D0%BD%D0%B8%D0%B5%20%D0%B4%D1%83%D1%88%D0%B5%D0%B2%D0%BE%D0%B3%D0%BE%20%D1%81%D0%BC%D0%B5%D1%81%D0%B8%D1%82%D0%B5%D0%BB%D1%8F/%D1%81%D1%82%D0%BE%D0%B9%D0%BA%D0%B8%20%D0%A1%D0%B0%D1%80%D0%B0%D1%82%D0%BE%D0%B2</t>
        </is>
      </c>
      <c r="N191" s="1" t="inlineStr">
        <is>
          <t>не проверено</t>
        </is>
      </c>
      <c r="O191" s="1" t="inlineStr">
        <is>
          <t>2026-09-11</t>
        </is>
      </c>
      <c r="P191" s="47" t="inlineStr">
        <is>
          <t>уточнить</t>
        </is>
      </c>
      <c r="Q19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92">
      <c r="A192" s="1" t="inlineStr">
        <is>
          <t>1_Ремонт</t>
        </is>
      </c>
      <c r="B192" s="1" t="n">
        <v>47</v>
      </c>
      <c r="C192" s="1" t="inlineStr">
        <is>
          <t>7. Работы</t>
        </is>
      </c>
      <c r="D192" s="1" t="inlineStr">
        <is>
          <t>Установка полотенцесушителя</t>
        </is>
      </c>
      <c r="E192" s="1" t="inlineStr">
        <is>
          <t>шт</t>
        </is>
      </c>
      <c r="F192" s="1" t="inlineStr">
        <is>
          <t>МИН</t>
        </is>
      </c>
      <c r="G192" s="1" t="inlineStr">
        <is>
          <t>фирма-дискаунтер (Корона-ремонт)</t>
        </is>
      </c>
      <c r="H192" s="43" t="n">
        <v>990</v>
      </c>
      <c r="I192" s="43" t="n">
        <v>1500</v>
      </c>
      <c r="J192" s="48" t="n">
        <v>-34</v>
      </c>
      <c r="K192" s="1" t="inlineStr">
        <is>
          <t>Корона-ремонт Саратов</t>
        </is>
      </c>
      <c r="L192" s="1" t="inlineStr">
        <is>
          <t>Саратов</t>
        </is>
      </c>
      <c r="M192" s="45" t="inlineStr">
        <is>
          <t>https://saratov.korona-remont.ru/prices</t>
        </is>
      </c>
      <c r="N192" s="1" t="inlineStr">
        <is>
          <t>прайс-лист</t>
        </is>
      </c>
      <c r="O192" s="1" t="inlineStr">
        <is>
          <t>2026-09-11</t>
        </is>
      </c>
      <c r="P192" s="46" t="inlineStr">
        <is>
          <t>ок</t>
        </is>
      </c>
      <c r="Q192" s="1" t="inlineStr">
        <is>
          <t>«Монтаж полотенцесушителя» 990 ₽; d-mastera 1 200 ₽</t>
        </is>
      </c>
    </row>
    <row r="193">
      <c r="A193" s="1" t="inlineStr">
        <is>
          <t>1_Ремонт</t>
        </is>
      </c>
      <c r="B193" s="1" t="n">
        <v>47</v>
      </c>
      <c r="C193" s="1" t="inlineStr">
        <is>
          <t>7. Работы</t>
        </is>
      </c>
      <c r="D193" s="1" t="inlineStr">
        <is>
          <t>Установка полотенцесушителя</t>
        </is>
      </c>
      <c r="E193" s="1" t="inlineStr">
        <is>
          <t>шт</t>
        </is>
      </c>
      <c r="F193" s="1" t="inlineStr">
        <is>
          <t>СРЕД</t>
        </is>
      </c>
      <c r="G193" s="1" t="inlineStr">
        <is>
          <t>ремонтная фирма (Рэмо64)</t>
        </is>
      </c>
      <c r="H193" s="43" t="n">
        <v>2000</v>
      </c>
      <c r="I193" s="43" t="n">
        <v>3000</v>
      </c>
      <c r="J193" s="48" t="n">
        <v>-33.3</v>
      </c>
      <c r="K193" s="1" t="inlineStr">
        <is>
          <t>Рэмо64</t>
        </is>
      </c>
      <c r="L193" s="1" t="inlineStr">
        <is>
          <t>Саратов</t>
        </is>
      </c>
      <c r="M193" s="45" t="inlineStr">
        <is>
          <t>https://remo64.ru/price_san.php</t>
        </is>
      </c>
      <c r="N193" s="1" t="inlineStr">
        <is>
          <t>прайс-лист</t>
        </is>
      </c>
      <c r="O193" s="1" t="inlineStr">
        <is>
          <t>2026-09-11</t>
        </is>
      </c>
      <c r="P193" s="46" t="inlineStr">
        <is>
          <t>ок</t>
        </is>
      </c>
      <c r="Q193" s="1" t="inlineStr">
        <is>
          <t>«Установка полотенцесушителя» от 2 000 ₽; Proff-remont 1 690 ₽</t>
        </is>
      </c>
    </row>
    <row r="194">
      <c r="A194" s="1" t="inlineStr">
        <is>
          <t>1_Ремонт</t>
        </is>
      </c>
      <c r="B194" s="1" t="n">
        <v>47</v>
      </c>
      <c r="C194" s="1" t="inlineStr">
        <is>
          <t>7. Работы</t>
        </is>
      </c>
      <c r="D194" s="1" t="inlineStr">
        <is>
          <t>Установка полотенцесушителя</t>
        </is>
      </c>
      <c r="E194" s="1" t="inlineStr">
        <is>
          <t>шт</t>
        </is>
      </c>
      <c r="F194" s="1" t="inlineStr">
        <is>
          <t>МАКС</t>
        </is>
      </c>
      <c r="G194" s="1" t="inlineStr">
        <is>
          <t>бригада с договором (Гарант.Строй Комплекс)</t>
        </is>
      </c>
      <c r="H194" s="43" t="n">
        <v>3911</v>
      </c>
      <c r="I194" s="43" t="n">
        <v>4000</v>
      </c>
      <c r="J194" s="44" t="n">
        <v>-2.2</v>
      </c>
      <c r="K194" s="1" t="inlineStr">
        <is>
          <t>Гарант.Строй Комплекс</t>
        </is>
      </c>
      <c r="L194" s="1" t="inlineStr">
        <is>
          <t>Саратов</t>
        </is>
      </c>
      <c r="M194" s="45" t="inlineStr">
        <is>
          <t>https://saratov.garantstroikompleks.ru/prajs-list</t>
        </is>
      </c>
      <c r="N194" s="1" t="inlineStr">
        <is>
          <t>прайс-лист</t>
        </is>
      </c>
      <c r="O194" s="1" t="inlineStr">
        <is>
          <t>2026-09-11</t>
        </is>
      </c>
      <c r="P194" s="46" t="inlineStr">
        <is>
          <t>ок</t>
        </is>
      </c>
      <c r="Q194" s="1" t="inlineStr">
        <is>
          <t>«Установка полотенцесушителя» 3 911 ₽ — единственный прайс близко к смете МАКС</t>
        </is>
      </c>
    </row>
    <row r="195">
      <c r="A195" s="1" t="inlineStr">
        <is>
          <t>1_Ремонт</t>
        </is>
      </c>
      <c r="B195" s="1" t="n">
        <v>47</v>
      </c>
      <c r="C195" s="1" t="inlineStr">
        <is>
          <t>7. Работы</t>
        </is>
      </c>
      <c r="D195" s="1" t="inlineStr">
        <is>
          <t>Установка полотенцесушителя</t>
        </is>
      </c>
      <c r="E195" s="1" t="inlineStr">
        <is>
          <t>шт</t>
        </is>
      </c>
      <c r="F195" s="1" t="inlineStr">
        <is>
          <t>ВСЕ</t>
        </is>
      </c>
      <c r="G195" s="1" t="inlineStr">
        <is>
          <t>Авито Саратов — поиск «Установка полотенцесушителя» (услуги мастеров)</t>
        </is>
      </c>
      <c r="H195" s="43" t="n"/>
      <c r="I195" s="43" t="n"/>
      <c r="J195" s="44" t="n"/>
      <c r="K195" s="1" t="inlineStr">
        <is>
          <t>Авито Саратов</t>
        </is>
      </c>
      <c r="L195" s="1" t="inlineStr">
        <is>
          <t>Саратов</t>
        </is>
      </c>
      <c r="M195" s="45" t="inlineStr">
        <is>
          <t>https://www.avito.ru/saratov/predlozheniya_uslug?q=%D0%A3%D1%81%D1%82%D0%B0%D0%BD%D0%BE%D0%B2%D0%BA%D0%B0%20%D0%BF%D0%BE%D0%BB%D0%BE%D1%82%D0%B5%D0%BD%D1%86%D0%B5%D1%81%D1%83%D1%88%D0%B8%D1%82%D0%B5%D0%BB%D1%8F%20%D0%A1%D0%B0%D1%80%D0%B0%D1%82%D0%BE%D0%B2</t>
        </is>
      </c>
      <c r="N195" s="1" t="inlineStr">
        <is>
          <t>не проверено</t>
        </is>
      </c>
      <c r="O195" s="1" t="inlineStr">
        <is>
          <t>2026-09-11</t>
        </is>
      </c>
      <c r="P195" s="47" t="inlineStr">
        <is>
          <t>уточнить</t>
        </is>
      </c>
      <c r="Q19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196">
      <c r="A196" s="1" t="inlineStr">
        <is>
          <t>1_Ремонт</t>
        </is>
      </c>
      <c r="B196" s="1" t="n">
        <v>48</v>
      </c>
      <c r="C196" s="1" t="inlineStr">
        <is>
          <t>7. Работы</t>
        </is>
      </c>
      <c r="D196" s="1" t="inlineStr">
        <is>
          <t>Установка гигиенического душа</t>
        </is>
      </c>
      <c r="E196" s="1" t="inlineStr">
        <is>
          <t>шт</t>
        </is>
      </c>
      <c r="F196" s="1" t="inlineStr">
        <is>
          <t>МИН</t>
        </is>
      </c>
      <c r="G196" s="1" t="inlineStr">
        <is>
          <t>сервис мастеров d-mastera</t>
        </is>
      </c>
      <c r="H196" s="43" t="n"/>
      <c r="I196" s="43" t="n">
        <v>1500</v>
      </c>
      <c r="J196" s="44" t="n"/>
      <c r="K196" s="1" t="inlineStr">
        <is>
          <t>d-mastera Саратов</t>
        </is>
      </c>
      <c r="L196" s="1" t="inlineStr">
        <is>
          <t>Саратов</t>
        </is>
      </c>
      <c r="M196" s="45" t="inlineStr">
        <is>
          <t>https://saratov.d-mastera.ru/tseny-na-uslugi-santehnika/</t>
        </is>
      </c>
      <c r="N196" s="1" t="inlineStr">
        <is>
          <t>прайс-лист</t>
        </is>
      </c>
      <c r="O196" s="1" t="inlineStr">
        <is>
          <t>2026-09-11</t>
        </is>
      </c>
      <c r="P196" s="47" t="inlineStr">
        <is>
          <t>уточнить</t>
        </is>
      </c>
      <c r="Q196" s="1" t="inlineStr">
        <is>
          <t>Строки «гигиенический душ» нет; ближайшая — «установка смесителя на ванну» 450 ₽ (не засчитано)</t>
        </is>
      </c>
    </row>
    <row r="197">
      <c r="A197" s="1" t="inlineStr">
        <is>
          <t>1_Ремонт</t>
        </is>
      </c>
      <c r="B197" s="1" t="n">
        <v>48</v>
      </c>
      <c r="C197" s="1" t="inlineStr">
        <is>
          <t>7. Работы</t>
        </is>
      </c>
      <c r="D197" s="1" t="inlineStr">
        <is>
          <t>Установка гигиенического душа</t>
        </is>
      </c>
      <c r="E197" s="1" t="inlineStr">
        <is>
          <t>шт</t>
        </is>
      </c>
      <c r="F197" s="1" t="inlineStr">
        <is>
          <t>СРЕД</t>
        </is>
      </c>
      <c r="G197" s="1" t="inlineStr">
        <is>
          <t>ремонтная фирма «Мой дом» / 365rem (прайс 2026)</t>
        </is>
      </c>
      <c r="H197" s="43" t="n">
        <v>1480</v>
      </c>
      <c r="I197" s="43" t="n">
        <v>2500</v>
      </c>
      <c r="J197" s="48" t="n">
        <v>-40.8</v>
      </c>
      <c r="K197" s="1" t="inlineStr">
        <is>
          <t>365rem.ru Саратов</t>
        </is>
      </c>
      <c r="L197" s="1" t="inlineStr">
        <is>
          <t>Саратов</t>
        </is>
      </c>
      <c r="M197" s="45" t="inlineStr">
        <is>
          <t>https://saratov.365rem.ru/viewprice.asp?id=1144</t>
        </is>
      </c>
      <c r="N197" s="1" t="inlineStr">
        <is>
          <t>страница</t>
        </is>
      </c>
      <c r="O197" s="1" t="inlineStr">
        <is>
          <t>2026-09-11</t>
        </is>
      </c>
      <c r="P197" s="46" t="inlineStr">
        <is>
          <t>ок</t>
        </is>
      </c>
      <c r="Q197" s="1" t="inlineStr">
        <is>
          <t>«Установка гигиенического душа» 1 850 ₽/ед., со скидкой 20 % — 1 480 ₽/ед.</t>
        </is>
      </c>
    </row>
    <row r="198">
      <c r="A198" s="1" t="inlineStr">
        <is>
          <t>1_Ремонт</t>
        </is>
      </c>
      <c r="B198" s="1" t="n">
        <v>48</v>
      </c>
      <c r="C198" s="1" t="inlineStr">
        <is>
          <t>7. Работы</t>
        </is>
      </c>
      <c r="D198" s="1" t="inlineStr">
        <is>
          <t>Установка гигиенического душа</t>
        </is>
      </c>
      <c r="E198" s="1" t="inlineStr">
        <is>
          <t>шт</t>
        </is>
      </c>
      <c r="F198" s="1" t="inlineStr">
        <is>
          <t>МАКС</t>
        </is>
      </c>
      <c r="G198" s="1" t="inlineStr">
        <is>
          <t>бригада с договором (Гарант.Строй Комплекс)</t>
        </is>
      </c>
      <c r="H198" s="43" t="n"/>
      <c r="I198" s="43" t="n">
        <v>4000</v>
      </c>
      <c r="J198" s="44" t="n"/>
      <c r="K198" s="1" t="inlineStr">
        <is>
          <t>Гарант.Строй Комплекс</t>
        </is>
      </c>
      <c r="L198" s="1" t="inlineStr">
        <is>
          <t>Саратов</t>
        </is>
      </c>
      <c r="M198" s="45" t="inlineStr">
        <is>
          <t>https://saratov.garantstroikompleks.ru/prajs-list</t>
        </is>
      </c>
      <c r="N198" s="1" t="inlineStr">
        <is>
          <t>прайс-лист</t>
        </is>
      </c>
      <c r="O198" s="1" t="inlineStr">
        <is>
          <t>2026-09-11</t>
        </is>
      </c>
      <c r="P198" s="47" t="inlineStr">
        <is>
          <t>уточнить</t>
        </is>
      </c>
      <c r="Q198" s="1" t="inlineStr">
        <is>
          <t>Отдельной строки нет; ближайшая — «установка смесителя» 945 ₽ (не засчитано). Profi.ru сантехники: от 1 300, ср. 2 000 ₽ за услугу</t>
        </is>
      </c>
    </row>
    <row r="199">
      <c r="A199" s="1" t="inlineStr">
        <is>
          <t>1_Ремонт</t>
        </is>
      </c>
      <c r="B199" s="1" t="n">
        <v>48</v>
      </c>
      <c r="C199" s="1" t="inlineStr">
        <is>
          <t>7. Работы</t>
        </is>
      </c>
      <c r="D199" s="1" t="inlineStr">
        <is>
          <t>Установка гигиенического душа</t>
        </is>
      </c>
      <c r="E199" s="1" t="inlineStr">
        <is>
          <t>шт</t>
        </is>
      </c>
      <c r="F199" s="1" t="inlineStr">
        <is>
          <t>ВСЕ</t>
        </is>
      </c>
      <c r="G199" s="1" t="inlineStr">
        <is>
          <t>Авито Саратов — поиск «Установка гигиенического душа» (услуги мастеров)</t>
        </is>
      </c>
      <c r="H199" s="43" t="n"/>
      <c r="I199" s="43" t="n"/>
      <c r="J199" s="44" t="n"/>
      <c r="K199" s="1" t="inlineStr">
        <is>
          <t>Авито Саратов</t>
        </is>
      </c>
      <c r="L199" s="1" t="inlineStr">
        <is>
          <t>Саратов</t>
        </is>
      </c>
      <c r="M199" s="45" t="inlineStr">
        <is>
          <t>https://www.avito.ru/saratov/predlozheniya_uslug?q=%D0%A3%D1%81%D1%82%D0%B0%D0%BD%D0%BE%D0%B2%D0%BA%D0%B0%20%D0%B3%D0%B8%D0%B3%D0%B8%D0%B5%D0%BD%D0%B8%D1%87%D0%B5%D1%81%D0%BA%D0%BE%D0%B3%D0%BE%20%D0%B4%D1%83%D1%88%D0%B0%20%D0%A1%D0%B0%D1%80%D0%B0%D1%82%D0%BE%D0%B2</t>
        </is>
      </c>
      <c r="N199" s="1" t="inlineStr">
        <is>
          <t>не проверено</t>
        </is>
      </c>
      <c r="O199" s="1" t="inlineStr">
        <is>
          <t>2026-09-11</t>
        </is>
      </c>
      <c r="P199" s="47" t="inlineStr">
        <is>
          <t>уточнить</t>
        </is>
      </c>
      <c r="Q19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00">
      <c r="A200" s="1" t="inlineStr">
        <is>
          <t>1_Ремонт</t>
        </is>
      </c>
      <c r="B200" s="1" t="n">
        <v>49</v>
      </c>
      <c r="C200" s="1" t="inlineStr">
        <is>
          <t>7. Работы</t>
        </is>
      </c>
      <c r="D200" s="1" t="inlineStr">
        <is>
          <t>Монтаж ограждения душевой</t>
        </is>
      </c>
      <c r="E200" s="1" t="inlineStr">
        <is>
          <t>шт</t>
        </is>
      </c>
      <c r="F200" s="1" t="inlineStr">
        <is>
          <t>МИН</t>
        </is>
      </c>
      <c r="G200" s="1" t="inlineStr">
        <is>
          <t>фирма-дискаунтер (Корона-ремонт)</t>
        </is>
      </c>
      <c r="H200" s="43" t="n">
        <v>745</v>
      </c>
      <c r="I200" s="43" t="n">
        <v>3000</v>
      </c>
      <c r="J200" s="48" t="n">
        <v>-75.2</v>
      </c>
      <c r="K200" s="1" t="inlineStr">
        <is>
          <t>Корона-ремонт Саратов</t>
        </is>
      </c>
      <c r="L200" s="1" t="inlineStr">
        <is>
          <t>Саратов</t>
        </is>
      </c>
      <c r="M200" s="45" t="inlineStr">
        <is>
          <t>https://saratov.korona-remont.ru/prices</t>
        </is>
      </c>
      <c r="N200" s="1" t="inlineStr">
        <is>
          <t>прайс-лист</t>
        </is>
      </c>
      <c r="O200" s="1" t="inlineStr">
        <is>
          <t>2026-09-11</t>
        </is>
      </c>
      <c r="P200" s="46" t="inlineStr">
        <is>
          <t>ок</t>
        </is>
      </c>
      <c r="Q200" s="1" t="inlineStr">
        <is>
          <t>«Монтаж душевого уголка» 745 ₽; d-mastera установка душевой кабины 990 ₽</t>
        </is>
      </c>
    </row>
    <row r="201">
      <c r="A201" s="1" t="inlineStr">
        <is>
          <t>1_Ремонт</t>
        </is>
      </c>
      <c r="B201" s="1" t="n">
        <v>49</v>
      </c>
      <c r="C201" s="1" t="inlineStr">
        <is>
          <t>7. Работы</t>
        </is>
      </c>
      <c r="D201" s="1" t="inlineStr">
        <is>
          <t>Монтаж ограждения душевой</t>
        </is>
      </c>
      <c r="E201" s="1" t="inlineStr">
        <is>
          <t>шт</t>
        </is>
      </c>
      <c r="F201" s="1" t="inlineStr">
        <is>
          <t>СРЕД</t>
        </is>
      </c>
      <c r="G201" s="1" t="inlineStr">
        <is>
          <t>мастер Profi.ru Саратов (перегородки из стекла)</t>
        </is>
      </c>
      <c r="H201" s="43" t="n">
        <v>3580</v>
      </c>
      <c r="I201" s="43" t="n">
        <v>8000</v>
      </c>
      <c r="J201" s="48" t="n">
        <v>-55.2</v>
      </c>
      <c r="K201" s="1" t="inlineStr">
        <is>
          <t>Profi.ru Саратов</t>
        </is>
      </c>
      <c r="L201" s="1" t="inlineStr">
        <is>
          <t>Саратов</t>
        </is>
      </c>
      <c r="M201" s="45" t="inlineStr">
        <is>
          <t>https://profi.ru/geo-saratov/remont/ustanovka-dushevyh-peregorodok-iz-stekla/</t>
        </is>
      </c>
      <c r="N201" s="1" t="inlineStr">
        <is>
          <t>сниппет</t>
        </is>
      </c>
      <c r="O201" s="1" t="inlineStr">
        <is>
          <t>2026-09-11</t>
        </is>
      </c>
      <c r="P201" s="46" t="inlineStr">
        <is>
          <t>ок</t>
        </is>
      </c>
      <c r="Q201" s="1" t="inlineStr">
        <is>
          <t>Установка душевых перегородок из стекла: «от 1 540, в среднем 3 580, максимум 8 620 ₽/шт»; кабины: 2 000 / 3 000 / 4 100</t>
        </is>
      </c>
    </row>
    <row r="202">
      <c r="A202" s="1" t="inlineStr">
        <is>
          <t>1_Ремонт</t>
        </is>
      </c>
      <c r="B202" s="1" t="n">
        <v>49</v>
      </c>
      <c r="C202" s="1" t="inlineStr">
        <is>
          <t>7. Работы</t>
        </is>
      </c>
      <c r="D202" s="1" t="inlineStr">
        <is>
          <t>Монтаж ограждения душевой</t>
        </is>
      </c>
      <c r="E202" s="1" t="inlineStr">
        <is>
          <t>шт</t>
        </is>
      </c>
      <c r="F202" s="1" t="inlineStr">
        <is>
          <t>МАКС</t>
        </is>
      </c>
      <c r="G202" s="1" t="inlineStr">
        <is>
          <t>бригада с договором (Гарант.Строй Комплекс)</t>
        </is>
      </c>
      <c r="H202" s="43" t="n">
        <v>4600</v>
      </c>
      <c r="I202" s="43" t="n">
        <v>12000</v>
      </c>
      <c r="J202" s="48" t="n">
        <v>-61.7</v>
      </c>
      <c r="K202" s="1" t="inlineStr">
        <is>
          <t>Гарант.Строй Комплекс</t>
        </is>
      </c>
      <c r="L202" s="1" t="inlineStr">
        <is>
          <t>Саратов</t>
        </is>
      </c>
      <c r="M202" s="45" t="inlineStr">
        <is>
          <t>https://saratov.garantstroikompleks.ru/prajs-list</t>
        </is>
      </c>
      <c r="N202" s="1" t="inlineStr">
        <is>
          <t>прайс-лист</t>
        </is>
      </c>
      <c r="O202" s="1" t="inlineStr">
        <is>
          <t>2026-09-11</t>
        </is>
      </c>
      <c r="P202" s="46" t="inlineStr">
        <is>
          <t>ок</t>
        </is>
      </c>
      <c r="Q202" s="1" t="inlineStr">
        <is>
          <t>«Установка душевой кабины» от 4 600 ₽; верх Profi по стеклу — 8 620 ₽. У стекольщиков монтаж часто в цене стекла (примечание сметы)</t>
        </is>
      </c>
    </row>
    <row r="203">
      <c r="A203" s="1" t="inlineStr">
        <is>
          <t>1_Ремонт</t>
        </is>
      </c>
      <c r="B203" s="1" t="n">
        <v>49</v>
      </c>
      <c r="C203" s="1" t="inlineStr">
        <is>
          <t>7. Работы</t>
        </is>
      </c>
      <c r="D203" s="1" t="inlineStr">
        <is>
          <t>Монтаж ограждения душевой</t>
        </is>
      </c>
      <c r="E203" s="1" t="inlineStr">
        <is>
          <t>шт</t>
        </is>
      </c>
      <c r="F203" s="1" t="inlineStr">
        <is>
          <t>ВСЕ</t>
        </is>
      </c>
      <c r="G203" s="1" t="inlineStr">
        <is>
          <t>Авито Саратов — поиск «Монтаж ограждения душевой» (услуги мастеров)</t>
        </is>
      </c>
      <c r="H203" s="43" t="n"/>
      <c r="I203" s="43" t="n"/>
      <c r="J203" s="44" t="n"/>
      <c r="K203" s="1" t="inlineStr">
        <is>
          <t>Авито Саратов</t>
        </is>
      </c>
      <c r="L203" s="1" t="inlineStr">
        <is>
          <t>Саратов</t>
        </is>
      </c>
      <c r="M203" s="45" t="inlineStr">
        <is>
          <t>https://www.avito.ru/saratov/predlozheniya_uslug?q=%D0%9C%D0%BE%D0%BD%D1%82%D0%B0%D0%B6%20%D0%BE%D0%B3%D1%80%D0%B0%D0%B6%D0%B4%D0%B5%D0%BD%D0%B8%D1%8F%20%D0%B4%D1%83%D1%88%D0%B5%D0%B2%D0%BE%D0%B9%20%D0%A1%D0%B0%D1%80%D0%B0%D1%82%D0%BE%D0%B2</t>
        </is>
      </c>
      <c r="N203" s="1" t="inlineStr">
        <is>
          <t>не проверено</t>
        </is>
      </c>
      <c r="O203" s="1" t="inlineStr">
        <is>
          <t>2026-09-11</t>
        </is>
      </c>
      <c r="P203" s="47" t="inlineStr">
        <is>
          <t>уточнить</t>
        </is>
      </c>
      <c r="Q20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04">
      <c r="A204" s="1" t="inlineStr">
        <is>
          <t>1_Ремонт</t>
        </is>
      </c>
      <c r="B204" s="1" t="n">
        <v>50</v>
      </c>
      <c r="C204" s="1" t="inlineStr">
        <is>
          <t>7. Работы</t>
        </is>
      </c>
      <c r="D204" s="1" t="inlineStr">
        <is>
          <t>Люк, вентиляторы, мелкие подключения</t>
        </is>
      </c>
      <c r="E204" s="1" t="inlineStr">
        <is>
          <t>компл</t>
        </is>
      </c>
      <c r="F204" s="1" t="inlineStr">
        <is>
          <t>МИН</t>
        </is>
      </c>
      <c r="G204" s="1" t="inlineStr">
        <is>
          <t>сервис мастеров d-mastera</t>
        </is>
      </c>
      <c r="H204" s="43" t="n">
        <v>800</v>
      </c>
      <c r="I204" s="43" t="n">
        <v>2000</v>
      </c>
      <c r="J204" s="48" t="n">
        <v>-60</v>
      </c>
      <c r="K204" s="1" t="inlineStr">
        <is>
          <t>d-mastera Саратов</t>
        </is>
      </c>
      <c r="L204" s="1" t="inlineStr">
        <is>
          <t>Саратов</t>
        </is>
      </c>
      <c r="M204" s="45" t="inlineStr">
        <is>
          <t>https://saratov.d-mastera.ru/tseny-na-elektromontazhnye-raboty/</t>
        </is>
      </c>
      <c r="N204" s="1" t="inlineStr">
        <is>
          <t>прайс-лист</t>
        </is>
      </c>
      <c r="O204" s="1" t="inlineStr">
        <is>
          <t>2026-09-11</t>
        </is>
      </c>
      <c r="P204" s="47" t="inlineStr">
        <is>
          <t>уточнить</t>
        </is>
      </c>
      <c r="Q204" s="1" t="inlineStr">
        <is>
          <t>«Монтаж бытового вентилятора» 400 ₽ × 2 = 800 ₽; люка в прайсе нет — состав неполный</t>
        </is>
      </c>
    </row>
    <row r="205">
      <c r="A205" s="1" t="inlineStr">
        <is>
          <t>1_Ремонт</t>
        </is>
      </c>
      <c r="B205" s="1" t="n">
        <v>50</v>
      </c>
      <c r="C205" s="1" t="inlineStr">
        <is>
          <t>7. Работы</t>
        </is>
      </c>
      <c r="D205" s="1" t="inlineStr">
        <is>
          <t>Люк, вентиляторы, мелкие подключения</t>
        </is>
      </c>
      <c r="E205" s="1" t="inlineStr">
        <is>
          <t>компл</t>
        </is>
      </c>
      <c r="F205" s="1" t="inlineStr">
        <is>
          <t>СРЕД</t>
        </is>
      </c>
      <c r="G205" s="1" t="inlineStr">
        <is>
          <t>фирма с договором (РЕМСТРОЙ64)</t>
        </is>
      </c>
      <c r="H205" s="43" t="n">
        <v>512</v>
      </c>
      <c r="I205" s="43" t="n">
        <v>4000</v>
      </c>
      <c r="J205" s="48" t="n">
        <v>-87.2</v>
      </c>
      <c r="K205" s="1" t="inlineStr">
        <is>
          <t>РЕМСТРОЙ64 (saratov.s5r.ru)</t>
        </is>
      </c>
      <c r="L205" s="1" t="inlineStr">
        <is>
          <t>Саратов</t>
        </is>
      </c>
      <c r="M205" s="45" t="inlineStr">
        <is>
          <t>https://saratov.s5r.ru/ehlektromontazh</t>
        </is>
      </c>
      <c r="N205" s="1" t="inlineStr">
        <is>
          <t>прайс-лист</t>
        </is>
      </c>
      <c r="O205" s="1" t="inlineStr">
        <is>
          <t>2026-09-11</t>
        </is>
      </c>
      <c r="P205" s="47" t="inlineStr">
        <is>
          <t>уточнить</t>
        </is>
      </c>
      <c r="Q205" s="1" t="inlineStr">
        <is>
          <t>«Установка вентилятора» 256 ₽ × 2 = 512 ₽; люк и мелкие подключения не в прайсе</t>
        </is>
      </c>
    </row>
    <row r="206">
      <c r="A206" s="1" t="inlineStr">
        <is>
          <t>1_Ремонт</t>
        </is>
      </c>
      <c r="B206" s="1" t="n">
        <v>50</v>
      </c>
      <c r="C206" s="1" t="inlineStr">
        <is>
          <t>7. Работы</t>
        </is>
      </c>
      <c r="D206" s="1" t="inlineStr">
        <is>
          <t>Люк, вентиляторы, мелкие подключения</t>
        </is>
      </c>
      <c r="E206" s="1" t="inlineStr">
        <is>
          <t>компл</t>
        </is>
      </c>
      <c r="F206" s="1" t="inlineStr">
        <is>
          <t>МАКС</t>
        </is>
      </c>
      <c r="G206" s="1" t="inlineStr">
        <is>
          <t>бригада с договором (Гарант.Строй Комплекс)</t>
        </is>
      </c>
      <c r="H206" s="43" t="n">
        <v>1667</v>
      </c>
      <c r="I206" s="43" t="n">
        <v>6000</v>
      </c>
      <c r="J206" s="48" t="n">
        <v>-72.2</v>
      </c>
      <c r="K206" s="1" t="inlineStr">
        <is>
          <t>Гарант.Строй Комплекс</t>
        </is>
      </c>
      <c r="L206" s="1" t="inlineStr">
        <is>
          <t>Саратов</t>
        </is>
      </c>
      <c r="M206" s="45" t="inlineStr">
        <is>
          <t>https://saratov.garantstroikompleks.ru/prajs-list</t>
        </is>
      </c>
      <c r="N206" s="1" t="inlineStr">
        <is>
          <t>прайс-лист</t>
        </is>
      </c>
      <c r="O206" s="1" t="inlineStr">
        <is>
          <t>2026-09-11</t>
        </is>
      </c>
      <c r="P206" s="46" t="inlineStr">
        <is>
          <t>ок</t>
        </is>
      </c>
      <c r="Q206" s="1" t="inlineStr">
        <is>
          <t>«Монтаж вентилятора» 549 × 2 + «монтаж сантехнического люка» 569 = 1 667 ₽ — даже у фирмы в 3,6 раза ниже сметы МАКС</t>
        </is>
      </c>
    </row>
    <row r="207">
      <c r="A207" s="1" t="inlineStr">
        <is>
          <t>1_Ремонт</t>
        </is>
      </c>
      <c r="B207" s="1" t="n">
        <v>50</v>
      </c>
      <c r="C207" s="1" t="inlineStr">
        <is>
          <t>7. Работы</t>
        </is>
      </c>
      <c r="D207" s="1" t="inlineStr">
        <is>
          <t>Люк, вентиляторы, мелкие подключения</t>
        </is>
      </c>
      <c r="E207" s="1" t="inlineStr">
        <is>
          <t>компл</t>
        </is>
      </c>
      <c r="F207" s="1" t="inlineStr">
        <is>
          <t>ВСЕ</t>
        </is>
      </c>
      <c r="G207" s="1" t="inlineStr">
        <is>
          <t>Авито Саратов — поиск «Люк, вентиляторы, мелкие подключения» (услуги мастеров)</t>
        </is>
      </c>
      <c r="H207" s="43" t="n"/>
      <c r="I207" s="43" t="n"/>
      <c r="J207" s="44" t="n"/>
      <c r="K207" s="1" t="inlineStr">
        <is>
          <t>Авито Саратов</t>
        </is>
      </c>
      <c r="L207" s="1" t="inlineStr">
        <is>
          <t>Саратов</t>
        </is>
      </c>
      <c r="M207" s="45" t="inlineStr">
        <is>
          <t>https://www.avito.ru/saratov/predlozheniya_uslug?q=%D0%9B%D1%8E%D0%BA%2C%20%D0%B2%D0%B5%D0%BD%D1%82%D0%B8%D0%BB%D1%8F%D1%82%D0%BE%D1%80%D1%8B%2C%20%D0%BC%D0%B5%D0%BB%D0%BA%D0%B8%D0%B5%20%D0%BF%D0%BE%D0%B4%D0%BA%D0%BB%D1%8E%D1%87%D0%B5%D0%BD%D0%B8%D1%8F%20%D0%A1%D0%B0%D1%80%D0%B0%D1%82%D0%BE%D0%B2</t>
        </is>
      </c>
      <c r="N207" s="1" t="inlineStr">
        <is>
          <t>не проверено</t>
        </is>
      </c>
      <c r="O207" s="1" t="inlineStr">
        <is>
          <t>2026-09-11</t>
        </is>
      </c>
      <c r="P207" s="47" t="inlineStr">
        <is>
          <t>уточнить</t>
        </is>
      </c>
      <c r="Q20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08">
      <c r="A208" s="1" t="inlineStr">
        <is>
          <t>1_Ремонт</t>
        </is>
      </c>
      <c r="B208" s="1" t="n">
        <v>51</v>
      </c>
      <c r="C208" s="1" t="inlineStr">
        <is>
          <t>7. Работы</t>
        </is>
      </c>
      <c r="D208" s="1" t="inlineStr">
        <is>
          <t>Установка розеток и выключателей</t>
        </is>
      </c>
      <c r="E208" s="1" t="inlineStr">
        <is>
          <t>шт</t>
        </is>
      </c>
      <c r="F208" s="1" t="inlineStr">
        <is>
          <t>МИН</t>
        </is>
      </c>
      <c r="G208" s="1" t="inlineStr">
        <is>
          <t>фирма-дискаунтер (Корона-ремонт)</t>
        </is>
      </c>
      <c r="H208" s="43" t="n">
        <v>110</v>
      </c>
      <c r="I208" s="43" t="n">
        <v>250</v>
      </c>
      <c r="J208" s="48" t="n">
        <v>-56</v>
      </c>
      <c r="K208" s="1" t="inlineStr">
        <is>
          <t>Корона-ремонт Саратов</t>
        </is>
      </c>
      <c r="L208" s="1" t="inlineStr">
        <is>
          <t>Саратов</t>
        </is>
      </c>
      <c r="M208" s="45" t="inlineStr">
        <is>
          <t>https://saratov.korona-remont.ru/prices</t>
        </is>
      </c>
      <c r="N208" s="1" t="inlineStr">
        <is>
          <t>прайс-лист</t>
        </is>
      </c>
      <c r="O208" s="1" t="inlineStr">
        <is>
          <t>2026-09-11</t>
        </is>
      </c>
      <c r="P208" s="46" t="inlineStr">
        <is>
          <t>ок</t>
        </is>
      </c>
      <c r="Q208" s="1" t="inlineStr">
        <is>
          <t>«Монтаж розеток» 110 ₽/шт; РЕМСТРОЙ64 (договор, гарантия 3 г.) — «установка розетки/выключателя» 61 ₽/шт</t>
        </is>
      </c>
    </row>
    <row r="209">
      <c r="A209" s="1" t="inlineStr">
        <is>
          <t>1_Ремонт</t>
        </is>
      </c>
      <c r="B209" s="1" t="n">
        <v>51</v>
      </c>
      <c r="C209" s="1" t="inlineStr">
        <is>
          <t>7. Работы</t>
        </is>
      </c>
      <c r="D209" s="1" t="inlineStr">
        <is>
          <t>Установка розеток и выключателей</t>
        </is>
      </c>
      <c r="E209" s="1" t="inlineStr">
        <is>
          <t>шт</t>
        </is>
      </c>
      <c r="F209" s="1" t="inlineStr">
        <is>
          <t>СРЕД</t>
        </is>
      </c>
      <c r="G209" s="1" t="inlineStr">
        <is>
          <t>сервис мастеров d-mastera</t>
        </is>
      </c>
      <c r="H209" s="43" t="n">
        <v>200</v>
      </c>
      <c r="I209" s="43" t="n">
        <v>400</v>
      </c>
      <c r="J209" s="48" t="n">
        <v>-50</v>
      </c>
      <c r="K209" s="1" t="inlineStr">
        <is>
          <t>d-mastera Саратов</t>
        </is>
      </c>
      <c r="L209" s="1" t="inlineStr">
        <is>
          <t>Саратов</t>
        </is>
      </c>
      <c r="M209" s="45" t="inlineStr">
        <is>
          <t>https://saratov.d-mastera.ru/tseny-na-elektromontazhnye-raboty/</t>
        </is>
      </c>
      <c r="N209" s="1" t="inlineStr">
        <is>
          <t>прайс-лист</t>
        </is>
      </c>
      <c r="O209" s="1" t="inlineStr">
        <is>
          <t>2026-09-11</t>
        </is>
      </c>
      <c r="P209" s="46" t="inlineStr">
        <is>
          <t>ок</t>
        </is>
      </c>
      <c r="Q209" s="1" t="inlineStr">
        <is>
          <t>«Установка розеток с заземлением» 200 ₽, выключатель 130 ₽; Profi.ru Саратов: 150–500 ₽/шт, от 200</t>
        </is>
      </c>
    </row>
    <row r="210">
      <c r="A210" s="1" t="inlineStr">
        <is>
          <t>1_Ремонт</t>
        </is>
      </c>
      <c r="B210" s="1" t="n">
        <v>51</v>
      </c>
      <c r="C210" s="1" t="inlineStr">
        <is>
          <t>7. Работы</t>
        </is>
      </c>
      <c r="D210" s="1" t="inlineStr">
        <is>
          <t>Установка розеток и выключателей</t>
        </is>
      </c>
      <c r="E210" s="1" t="inlineStr">
        <is>
          <t>шт</t>
        </is>
      </c>
      <c r="F210" s="1" t="inlineStr">
        <is>
          <t>МАКС</t>
        </is>
      </c>
      <c r="G210" s="1" t="inlineStr">
        <is>
          <t>бригада с договором (Гарант.Строй Комплекс)</t>
        </is>
      </c>
      <c r="H210" s="43" t="n">
        <v>183</v>
      </c>
      <c r="I210" s="43" t="n">
        <v>600</v>
      </c>
      <c r="J210" s="48" t="n">
        <v>-69.5</v>
      </c>
      <c r="K210" s="1" t="inlineStr">
        <is>
          <t>Гарант.Строй Комплекс</t>
        </is>
      </c>
      <c r="L210" s="1" t="inlineStr">
        <is>
          <t>Саратов</t>
        </is>
      </c>
      <c r="M210" s="45" t="inlineStr">
        <is>
          <t>https://saratov.garantstroikompleks.ru/prajs-list</t>
        </is>
      </c>
      <c r="N210" s="1" t="inlineStr">
        <is>
          <t>прайс-лист</t>
        </is>
      </c>
      <c r="O210" s="1" t="inlineStr">
        <is>
          <t>2026-09-11</t>
        </is>
      </c>
      <c r="P210" s="46" t="inlineStr">
        <is>
          <t>ок</t>
        </is>
      </c>
      <c r="Q210" s="1" t="inlineStr">
        <is>
          <t>«Установка розеток» 183 ₽/шт; «монтаж эл.точек (механизмов)» 214 ₽. Смета 250/400/600 выше всех прайсов</t>
        </is>
      </c>
    </row>
    <row r="211">
      <c r="A211" s="1" t="inlineStr">
        <is>
          <t>1_Ремонт</t>
        </is>
      </c>
      <c r="B211" s="1" t="n">
        <v>51</v>
      </c>
      <c r="C211" s="1" t="inlineStr">
        <is>
          <t>7. Работы</t>
        </is>
      </c>
      <c r="D211" s="1" t="inlineStr">
        <is>
          <t>Установка розеток и выключателей</t>
        </is>
      </c>
      <c r="E211" s="1" t="inlineStr">
        <is>
          <t>шт</t>
        </is>
      </c>
      <c r="F211" s="1" t="inlineStr">
        <is>
          <t>ВСЕ</t>
        </is>
      </c>
      <c r="G211" s="1" t="inlineStr">
        <is>
          <t>Авито Саратов — поиск «Установка розеток и выключателей» (услуги мастеров)</t>
        </is>
      </c>
      <c r="H211" s="43" t="n"/>
      <c r="I211" s="43" t="n"/>
      <c r="J211" s="44" t="n"/>
      <c r="K211" s="1" t="inlineStr">
        <is>
          <t>Авито Саратов</t>
        </is>
      </c>
      <c r="L211" s="1" t="inlineStr">
        <is>
          <t>Саратов</t>
        </is>
      </c>
      <c r="M211" s="45" t="inlineStr">
        <is>
          <t>https://www.avito.ru/saratov/predlozheniya_uslug?q=%D0%A3%D1%81%D1%82%D0%B0%D0%BD%D0%BE%D0%B2%D0%BA%D0%B0%20%D1%80%D0%BE%D0%B7%D0%B5%D1%82%D0%BE%D0%BA%20%D0%B8%20%D0%B2%D1%8B%D0%BA%D0%BB%D1%8E%D1%87%D0%B0%D1%82%D0%B5%D0%BB%D0%B5%D0%B9%20%D0%A1%D0%B0%D1%80%D0%B0%D1%82%D0%BE%D0%B2</t>
        </is>
      </c>
      <c r="N211" s="1" t="inlineStr">
        <is>
          <t>не проверено</t>
        </is>
      </c>
      <c r="O211" s="1" t="inlineStr">
        <is>
          <t>2026-09-11</t>
        </is>
      </c>
      <c r="P211" s="47" t="inlineStr">
        <is>
          <t>уточнить</t>
        </is>
      </c>
      <c r="Q21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12">
      <c r="A212" s="1" t="inlineStr">
        <is>
          <t>1_Ремонт</t>
        </is>
      </c>
      <c r="B212" s="1" t="n">
        <v>52</v>
      </c>
      <c r="C212" s="1" t="inlineStr">
        <is>
          <t>7. Работы</t>
        </is>
      </c>
      <c r="D212" s="1" t="inlineStr">
        <is>
          <t>Сборка и подключение щита</t>
        </is>
      </c>
      <c r="E212" s="1" t="inlineStr">
        <is>
          <t>компл</t>
        </is>
      </c>
      <c r="F212" s="1" t="inlineStr">
        <is>
          <t>МИН</t>
        </is>
      </c>
      <c r="G212" s="1" t="inlineStr">
        <is>
          <t>фирма-дискаунтер (Корона-ремонт)</t>
        </is>
      </c>
      <c r="H212" s="43" t="n">
        <v>1980</v>
      </c>
      <c r="I212" s="43" t="n">
        <v>6000</v>
      </c>
      <c r="J212" s="48" t="n">
        <v>-67</v>
      </c>
      <c r="K212" s="1" t="inlineStr">
        <is>
          <t>Корона-ремонт Саратов</t>
        </is>
      </c>
      <c r="L212" s="1" t="inlineStr">
        <is>
          <t>Саратов</t>
        </is>
      </c>
      <c r="M212" s="45" t="inlineStr">
        <is>
          <t>https://saratov.korona-remont.ru/prices</t>
        </is>
      </c>
      <c r="N212" s="1" t="inlineStr">
        <is>
          <t>прайс-лист</t>
        </is>
      </c>
      <c r="O212" s="1" t="inlineStr">
        <is>
          <t>2026-09-11</t>
        </is>
      </c>
      <c r="P212" s="46" t="inlineStr">
        <is>
          <t>ок</t>
        </is>
      </c>
      <c r="Q212" s="1" t="inlineStr">
        <is>
          <t>«Монтаж наружного распред.щита» 1 980 ₽/шт</t>
        </is>
      </c>
    </row>
    <row r="213">
      <c r="A213" s="1" t="inlineStr">
        <is>
          <t>1_Ремонт</t>
        </is>
      </c>
      <c r="B213" s="1" t="n">
        <v>52</v>
      </c>
      <c r="C213" s="1" t="inlineStr">
        <is>
          <t>7. Работы</t>
        </is>
      </c>
      <c r="D213" s="1" t="inlineStr">
        <is>
          <t>Сборка и подключение щита</t>
        </is>
      </c>
      <c r="E213" s="1" t="inlineStr">
        <is>
          <t>компл</t>
        </is>
      </c>
      <c r="F213" s="1" t="inlineStr">
        <is>
          <t>СРЕД</t>
        </is>
      </c>
      <c r="G213" s="1" t="inlineStr">
        <is>
          <t>сервис мастеров d-mastera / Дом Электрик</t>
        </is>
      </c>
      <c r="H213" s="43" t="n">
        <v>3000</v>
      </c>
      <c r="I213" s="43" t="n">
        <v>15000</v>
      </c>
      <c r="J213" s="48" t="n">
        <v>-80</v>
      </c>
      <c r="K213" s="1" t="inlineStr">
        <is>
          <t>d-mastera Саратов</t>
        </is>
      </c>
      <c r="L213" s="1" t="inlineStr">
        <is>
          <t>Саратов</t>
        </is>
      </c>
      <c r="M213" s="45" t="inlineStr">
        <is>
          <t>https://saratov.d-mastera.ru/tseny-na-elektromontazhnye-raboty/</t>
        </is>
      </c>
      <c r="N213" s="1" t="inlineStr">
        <is>
          <t>прайс-лист</t>
        </is>
      </c>
      <c r="O213" s="1" t="inlineStr">
        <is>
          <t>2026-09-11</t>
        </is>
      </c>
      <c r="P213" s="46" t="inlineStr">
        <is>
          <t>ок</t>
        </is>
      </c>
      <c r="Q213" s="1" t="inlineStr">
        <is>
          <t>«Сборка электрощита (модули УЗО, диф. автоматы)» 3 000 ₽; Дом Электрик «сборка щита» от 3 000; установка автомата 300 ₽/шт, УЗО 350–500 ₽/шт сверху при пересчёте помодульно</t>
        </is>
      </c>
    </row>
    <row r="214">
      <c r="A214" s="1" t="inlineStr">
        <is>
          <t>1_Ремонт</t>
        </is>
      </c>
      <c r="B214" s="1" t="n">
        <v>52</v>
      </c>
      <c r="C214" s="1" t="inlineStr">
        <is>
          <t>7. Работы</t>
        </is>
      </c>
      <c r="D214" s="1" t="inlineStr">
        <is>
          <t>Сборка и подключение щита</t>
        </is>
      </c>
      <c r="E214" s="1" t="inlineStr">
        <is>
          <t>компл</t>
        </is>
      </c>
      <c r="F214" s="1" t="inlineStr">
        <is>
          <t>МАКС</t>
        </is>
      </c>
      <c r="G214" s="1" t="inlineStr">
        <is>
          <t>бригада с договором (Гарант.Строй Комплекс)</t>
        </is>
      </c>
      <c r="H214" s="43" t="n">
        <v>6700</v>
      </c>
      <c r="I214" s="43" t="n">
        <v>25000</v>
      </c>
      <c r="J214" s="48" t="n">
        <v>-73.2</v>
      </c>
      <c r="K214" s="1" t="inlineStr">
        <is>
          <t>Гарант.Строй Комплекс</t>
        </is>
      </c>
      <c r="L214" s="1" t="inlineStr">
        <is>
          <t>Саратов</t>
        </is>
      </c>
      <c r="M214" s="45" t="inlineStr">
        <is>
          <t>https://saratov.garantstroikompleks.ru/prajs-list</t>
        </is>
      </c>
      <c r="N214" s="1" t="inlineStr">
        <is>
          <t>прайс-лист</t>
        </is>
      </c>
      <c r="O214" s="1" t="inlineStr">
        <is>
          <t>2026-09-11</t>
        </is>
      </c>
      <c r="P214" s="46" t="inlineStr">
        <is>
          <t>ок</t>
        </is>
      </c>
      <c r="Q214" s="1" t="inlineStr">
        <is>
          <t>«Монтаж распред.щита внутреннего исполнения в кирпиче» 6 700 ₽ + «подключение силовой линии в эл.щите» 1 625 ₽/линия</t>
        </is>
      </c>
    </row>
    <row r="215">
      <c r="A215" s="1" t="inlineStr">
        <is>
          <t>1_Ремонт</t>
        </is>
      </c>
      <c r="B215" s="1" t="n">
        <v>52</v>
      </c>
      <c r="C215" s="1" t="inlineStr">
        <is>
          <t>7. Работы</t>
        </is>
      </c>
      <c r="D215" s="1" t="inlineStr">
        <is>
          <t>Сборка и подключение щита</t>
        </is>
      </c>
      <c r="E215" s="1" t="inlineStr">
        <is>
          <t>компл</t>
        </is>
      </c>
      <c r="F215" s="1" t="inlineStr">
        <is>
          <t>ВСЕ</t>
        </is>
      </c>
      <c r="G215" s="1" t="inlineStr">
        <is>
          <t>Авито Саратов — поиск «Сборка и подключение щита» (услуги мастеров)</t>
        </is>
      </c>
      <c r="H215" s="43" t="n"/>
      <c r="I215" s="43" t="n"/>
      <c r="J215" s="44" t="n"/>
      <c r="K215" s="1" t="inlineStr">
        <is>
          <t>Авито Саратов</t>
        </is>
      </c>
      <c r="L215" s="1" t="inlineStr">
        <is>
          <t>Саратов</t>
        </is>
      </c>
      <c r="M215" s="45" t="inlineStr">
        <is>
          <t>https://www.avito.ru/saratov/predlozheniya_uslug?q=%D0%A1%D0%B1%D0%BE%D1%80%D0%BA%D0%B0%20%D0%B8%20%D0%BF%D0%BE%D0%B4%D0%BA%D0%BB%D1%8E%D1%87%D0%B5%D0%BD%D0%B8%D0%B5%20%D1%89%D0%B8%D1%82%D0%B0%20%D0%A1%D0%B0%D1%80%D0%B0%D1%82%D0%BE%D0%B2</t>
        </is>
      </c>
      <c r="N215" s="1" t="inlineStr">
        <is>
          <t>не проверено</t>
        </is>
      </c>
      <c r="O215" s="1" t="inlineStr">
        <is>
          <t>2026-09-11</t>
        </is>
      </c>
      <c r="P215" s="47" t="inlineStr">
        <is>
          <t>уточнить</t>
        </is>
      </c>
      <c r="Q21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16">
      <c r="A216" s="1" t="inlineStr">
        <is>
          <t>1_Ремонт</t>
        </is>
      </c>
      <c r="B216" s="1" t="n">
        <v>53</v>
      </c>
      <c r="C216" s="1" t="inlineStr">
        <is>
          <t>7. Работы</t>
        </is>
      </c>
      <c r="D216" s="1" t="inlineStr">
        <is>
          <t>Монтаж линии на варочную панель</t>
        </is>
      </c>
      <c r="E216" s="1" t="inlineStr">
        <is>
          <t>компл</t>
        </is>
      </c>
      <c r="F216" s="1" t="inlineStr">
        <is>
          <t>МИН</t>
        </is>
      </c>
      <c r="G216" s="1" t="inlineStr">
        <is>
          <t>сервис мастеров d-mastera</t>
        </is>
      </c>
      <c r="H216" s="43" t="n">
        <v>1450</v>
      </c>
      <c r="I216" s="43" t="n">
        <v>2500</v>
      </c>
      <c r="J216" s="48" t="n">
        <v>-42</v>
      </c>
      <c r="K216" s="1" t="inlineStr">
        <is>
          <t>d-mastera Саратов</t>
        </is>
      </c>
      <c r="L216" s="1" t="inlineStr">
        <is>
          <t>Саратов</t>
        </is>
      </c>
      <c r="M216" s="45" t="inlineStr">
        <is>
          <t>https://saratov.d-mastera.ru/tseny-na-elektromontazhnye-raboty/</t>
        </is>
      </c>
      <c r="N216" s="1" t="inlineStr">
        <is>
          <t>прайс-лист</t>
        </is>
      </c>
      <c r="O216" s="1" t="inlineStr">
        <is>
          <t>2026-09-11</t>
        </is>
      </c>
      <c r="P216" s="46" t="inlineStr">
        <is>
          <t>ок</t>
        </is>
      </c>
      <c r="Q216" s="1" t="inlineStr">
        <is>
          <t>Подключение варочной панели 350 + автомат 300 + кабель 10 м × 80 = 1 450 ₽ (кабель до 4 мм²; 6 мм² может быть дороже)</t>
        </is>
      </c>
    </row>
    <row r="217">
      <c r="A217" s="1" t="inlineStr">
        <is>
          <t>1_Ремонт</t>
        </is>
      </c>
      <c r="B217" s="1" t="n">
        <v>53</v>
      </c>
      <c r="C217" s="1" t="inlineStr">
        <is>
          <t>7. Работы</t>
        </is>
      </c>
      <c r="D217" s="1" t="inlineStr">
        <is>
          <t>Монтаж линии на варочную панель</t>
        </is>
      </c>
      <c r="E217" s="1" t="inlineStr">
        <is>
          <t>компл</t>
        </is>
      </c>
      <c r="F217" s="1" t="inlineStr">
        <is>
          <t>СРЕД</t>
        </is>
      </c>
      <c r="G217" s="1" t="inlineStr">
        <is>
          <t>электрик-фирма dom-electric</t>
        </is>
      </c>
      <c r="H217" s="43" t="n">
        <v>2750</v>
      </c>
      <c r="I217" s="43" t="n">
        <v>3500</v>
      </c>
      <c r="J217" s="44" t="n">
        <v>-21.4</v>
      </c>
      <c r="K217" s="1" t="inlineStr">
        <is>
          <t>Дом Электрик Саратов</t>
        </is>
      </c>
      <c r="L217" s="1" t="inlineStr">
        <is>
          <t>Саратов</t>
        </is>
      </c>
      <c r="M217" s="45" t="inlineStr">
        <is>
          <t>https://saratov.dom-electric.ru/price</t>
        </is>
      </c>
      <c r="N217" s="1" t="inlineStr">
        <is>
          <t>прайс-лист</t>
        </is>
      </c>
      <c r="O217" s="1" t="inlineStr">
        <is>
          <t>2026-09-11</t>
        </is>
      </c>
      <c r="P217" s="46" t="inlineStr">
        <is>
          <t>ок</t>
        </is>
      </c>
      <c r="Q217" s="1" t="inlineStr">
        <is>
          <t>Подключение варочной панели от 1 450 + автомат 300 + кабель 10 м × 100 = 2 750 ₽</t>
        </is>
      </c>
    </row>
    <row r="218">
      <c r="A218" s="1" t="inlineStr">
        <is>
          <t>1_Ремонт</t>
        </is>
      </c>
      <c r="B218" s="1" t="n">
        <v>53</v>
      </c>
      <c r="C218" s="1" t="inlineStr">
        <is>
          <t>7. Работы</t>
        </is>
      </c>
      <c r="D218" s="1" t="inlineStr">
        <is>
          <t>Монтаж линии на варочную панель</t>
        </is>
      </c>
      <c r="E218" s="1" t="inlineStr">
        <is>
          <t>компл</t>
        </is>
      </c>
      <c r="F218" s="1" t="inlineStr">
        <is>
          <t>МАКС</t>
        </is>
      </c>
      <c r="G218" s="1" t="inlineStr">
        <is>
          <t>бригада с договором (Гарант.Строй Комплекс)</t>
        </is>
      </c>
      <c r="H218" s="43" t="n">
        <v>1625</v>
      </c>
      <c r="I218" s="43" t="n">
        <v>5000</v>
      </c>
      <c r="J218" s="48" t="n">
        <v>-67.5</v>
      </c>
      <c r="K218" s="1" t="inlineStr">
        <is>
          <t>Гарант.Строй Комплекс</t>
        </is>
      </c>
      <c r="L218" s="1" t="inlineStr">
        <is>
          <t>Саратов</t>
        </is>
      </c>
      <c r="M218" s="45" t="inlineStr">
        <is>
          <t>https://saratov.garantstroikompleks.ru/prajs-list</t>
        </is>
      </c>
      <c r="N218" s="1" t="inlineStr">
        <is>
          <t>прайс-лист</t>
        </is>
      </c>
      <c r="O218" s="1" t="inlineStr">
        <is>
          <t>2026-09-11</t>
        </is>
      </c>
      <c r="P218" s="47" t="inlineStr">
        <is>
          <t>уточнить</t>
        </is>
      </c>
      <c r="Q218" s="1" t="inlineStr">
        <is>
          <t>«Подключение силовой линии в эл.щите с подключением» 1 625 ₽; цена кабеля/штробы в прайсе не выделена — состав неполный. РЕМСТРОЙ64: розетка на электроплиту 620 ₽ + кабель в штробе 31 ₽/п.м</t>
        </is>
      </c>
    </row>
    <row r="219">
      <c r="A219" s="1" t="inlineStr">
        <is>
          <t>1_Ремонт</t>
        </is>
      </c>
      <c r="B219" s="1" t="n">
        <v>53</v>
      </c>
      <c r="C219" s="1" t="inlineStr">
        <is>
          <t>7. Работы</t>
        </is>
      </c>
      <c r="D219" s="1" t="inlineStr">
        <is>
          <t>Монтаж линии на варочную панель</t>
        </is>
      </c>
      <c r="E219" s="1" t="inlineStr">
        <is>
          <t>компл</t>
        </is>
      </c>
      <c r="F219" s="1" t="inlineStr">
        <is>
          <t>ВСЕ</t>
        </is>
      </c>
      <c r="G219" s="1" t="inlineStr">
        <is>
          <t>Авито Саратов — поиск «Монтаж линии на варочную панель» (услуги мастеров)</t>
        </is>
      </c>
      <c r="H219" s="43" t="n"/>
      <c r="I219" s="43" t="n"/>
      <c r="J219" s="44" t="n"/>
      <c r="K219" s="1" t="inlineStr">
        <is>
          <t>Авито Саратов</t>
        </is>
      </c>
      <c r="L219" s="1" t="inlineStr">
        <is>
          <t>Саратов</t>
        </is>
      </c>
      <c r="M219" s="45" t="inlineStr">
        <is>
          <t>https://www.avito.ru/saratov/predlozheniya_uslug?q=%D0%9C%D0%BE%D0%BD%D1%82%D0%B0%D0%B6%20%D0%BB%D0%B8%D0%BD%D0%B8%D0%B8%20%D0%BD%D0%B0%20%D0%B2%D0%B0%D1%80%D0%BE%D1%87%D0%BD%D1%83%D1%8E%20%D0%BF%D0%B0%D0%BD%D0%B5%D0%BB%D1%8C%20%D0%A1%D0%B0%D1%80%D0%B0%D1%82%D0%BE%D0%B2</t>
        </is>
      </c>
      <c r="N219" s="1" t="inlineStr">
        <is>
          <t>не проверено</t>
        </is>
      </c>
      <c r="O219" s="1" t="inlineStr">
        <is>
          <t>2026-09-11</t>
        </is>
      </c>
      <c r="P219" s="47" t="inlineStr">
        <is>
          <t>уточнить</t>
        </is>
      </c>
      <c r="Q21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20">
      <c r="A220" s="1" t="inlineStr">
        <is>
          <t>1_Ремонт</t>
        </is>
      </c>
      <c r="B220" s="1" t="n">
        <v>54</v>
      </c>
      <c r="C220" s="1" t="inlineStr">
        <is>
          <t>7. Работы</t>
        </is>
      </c>
      <c r="D220" s="1" t="inlineStr">
        <is>
          <t>Прозвонка, маркировка, проверка линий</t>
        </is>
      </c>
      <c r="E220" s="1" t="inlineStr">
        <is>
          <t>компл</t>
        </is>
      </c>
      <c r="F220" s="1" t="inlineStr">
        <is>
          <t>МИН</t>
        </is>
      </c>
      <c r="G220" s="1" t="inlineStr">
        <is>
          <t>сервис мастеров d-mastera</t>
        </is>
      </c>
      <c r="H220" s="43" t="n">
        <v>1200</v>
      </c>
      <c r="I220" s="43" t="n">
        <v>2000</v>
      </c>
      <c r="J220" s="48" t="n">
        <v>-40</v>
      </c>
      <c r="K220" s="1" t="inlineStr">
        <is>
          <t>d-mastera Саратов</t>
        </is>
      </c>
      <c r="L220" s="1" t="inlineStr">
        <is>
          <t>Саратов</t>
        </is>
      </c>
      <c r="M220" s="45" t="inlineStr">
        <is>
          <t>https://saratov.d-mastera.ru/tseny-na-elektromontazhnye-raboty/</t>
        </is>
      </c>
      <c r="N220" s="1" t="inlineStr">
        <is>
          <t>прайс-лист</t>
        </is>
      </c>
      <c r="O220" s="1" t="inlineStr">
        <is>
          <t>2026-09-11</t>
        </is>
      </c>
      <c r="P220" s="46" t="inlineStr">
        <is>
          <t>ок</t>
        </is>
      </c>
      <c r="Q220" s="1" t="inlineStr">
        <is>
          <t>«Прозвонка кабеля между точками» 80 ₽/шт × 15 линий = 1 200 ₽ (маркировка не тарифицируется)</t>
        </is>
      </c>
    </row>
    <row r="221">
      <c r="A221" s="1" t="inlineStr">
        <is>
          <t>1_Ремонт</t>
        </is>
      </c>
      <c r="B221" s="1" t="n">
        <v>54</v>
      </c>
      <c r="C221" s="1" t="inlineStr">
        <is>
          <t>7. Работы</t>
        </is>
      </c>
      <c r="D221" s="1" t="inlineStr">
        <is>
          <t>Прозвонка, маркировка, проверка линий</t>
        </is>
      </c>
      <c r="E221" s="1" t="inlineStr">
        <is>
          <t>компл</t>
        </is>
      </c>
      <c r="F221" s="1" t="inlineStr">
        <is>
          <t>СРЕД</t>
        </is>
      </c>
      <c r="G221" s="1" t="inlineStr">
        <is>
          <t>электрик-фирма dom-electric</t>
        </is>
      </c>
      <c r="H221" s="43" t="n">
        <v>4000</v>
      </c>
      <c r="I221" s="43" t="n">
        <v>4000</v>
      </c>
      <c r="J221" s="44" t="n">
        <v>0</v>
      </c>
      <c r="K221" s="1" t="inlineStr">
        <is>
          <t>Дом Электрик Саратов</t>
        </is>
      </c>
      <c r="L221" s="1" t="inlineStr">
        <is>
          <t>Саратов</t>
        </is>
      </c>
      <c r="M221" s="45" t="inlineStr">
        <is>
          <t>https://saratov.dom-electric.ru/price</t>
        </is>
      </c>
      <c r="N221" s="1" t="inlineStr">
        <is>
          <t>прайс-лист</t>
        </is>
      </c>
      <c r="O221" s="1" t="inlineStr">
        <is>
          <t>2026-09-11</t>
        </is>
      </c>
      <c r="P221" s="46" t="inlineStr">
        <is>
          <t>ок</t>
        </is>
      </c>
      <c r="Q221" s="1" t="inlineStr">
        <is>
          <t>«Комплексная диагностика любой квартиры до 80 кв.м» от 4 000 ₽</t>
        </is>
      </c>
    </row>
    <row r="222">
      <c r="A222" s="1" t="inlineStr">
        <is>
          <t>1_Ремонт</t>
        </is>
      </c>
      <c r="B222" s="1" t="n">
        <v>54</v>
      </c>
      <c r="C222" s="1" t="inlineStr">
        <is>
          <t>7. Работы</t>
        </is>
      </c>
      <c r="D222" s="1" t="inlineStr">
        <is>
          <t>Прозвонка, маркировка, проверка линий</t>
        </is>
      </c>
      <c r="E222" s="1" t="inlineStr">
        <is>
          <t>компл</t>
        </is>
      </c>
      <c r="F222" s="1" t="inlineStr">
        <is>
          <t>МАКС</t>
        </is>
      </c>
      <c r="G222" s="1" t="inlineStr">
        <is>
          <t>фирма с договором (РЕМСТРОЙ64)</t>
        </is>
      </c>
      <c r="H222" s="43" t="n"/>
      <c r="I222" s="43" t="n">
        <v>6000</v>
      </c>
      <c r="J222" s="44" t="n"/>
      <c r="K222" s="1" t="inlineStr">
        <is>
          <t>РЕМСТРОЙ64 (saratov.s5r.ru)</t>
        </is>
      </c>
      <c r="L222" s="1" t="inlineStr">
        <is>
          <t>Саратов</t>
        </is>
      </c>
      <c r="M222" s="45" t="inlineStr">
        <is>
          <t>https://saratov.s5r.ru/ehlektromontazh</t>
        </is>
      </c>
      <c r="N222" s="1" t="inlineStr">
        <is>
          <t>прайс-лист</t>
        </is>
      </c>
      <c r="O222" s="1" t="inlineStr">
        <is>
          <t>2026-09-11</t>
        </is>
      </c>
      <c r="P222" s="47" t="inlineStr">
        <is>
          <t>уточнить</t>
        </is>
      </c>
      <c r="Q222" s="1" t="inlineStr">
        <is>
          <t>Строки «прозвонка/маркировка» нет ни у РЕМСТРОЙ64, ни у Гарант — обычно входит в сборку щита; запросить</t>
        </is>
      </c>
    </row>
    <row r="223">
      <c r="A223" s="1" t="inlineStr">
        <is>
          <t>1_Ремонт</t>
        </is>
      </c>
      <c r="B223" s="1" t="n">
        <v>54</v>
      </c>
      <c r="C223" s="1" t="inlineStr">
        <is>
          <t>7. Работы</t>
        </is>
      </c>
      <c r="D223" s="1" t="inlineStr">
        <is>
          <t>Прозвонка, маркировка, проверка линий</t>
        </is>
      </c>
      <c r="E223" s="1" t="inlineStr">
        <is>
          <t>компл</t>
        </is>
      </c>
      <c r="F223" s="1" t="inlineStr">
        <is>
          <t>ВСЕ</t>
        </is>
      </c>
      <c r="G223" s="1" t="inlineStr">
        <is>
          <t>Авито Саратов — поиск «Прозвонка, маркировка, проверка линий» (услуги мастеров)</t>
        </is>
      </c>
      <c r="H223" s="43" t="n"/>
      <c r="I223" s="43" t="n"/>
      <c r="J223" s="44" t="n"/>
      <c r="K223" s="1" t="inlineStr">
        <is>
          <t>Авито Саратов</t>
        </is>
      </c>
      <c r="L223" s="1" t="inlineStr">
        <is>
          <t>Саратов</t>
        </is>
      </c>
      <c r="M223" s="45" t="inlineStr">
        <is>
          <t>https://www.avito.ru/saratov/predlozheniya_uslug?q=%D0%9F%D1%80%D0%BE%D0%B7%D0%B2%D0%BE%D0%BD%D0%BA%D0%B0%2C%20%D0%BC%D0%B0%D1%80%D0%BA%D0%B8%D1%80%D0%BE%D0%B2%D0%BA%D0%B0%2C%20%D0%BF%D1%80%D0%BE%D0%B2%D0%B5%D1%80%D0%BA%D0%B0%20%D0%BB%D0%B8%D0%BD%D0%B8%D0%B9%20%D0%A1%D0%B0%D1%80%D0%B0%D1%82%D0%BE%D0%B2</t>
        </is>
      </c>
      <c r="N223" s="1" t="inlineStr">
        <is>
          <t>не проверено</t>
        </is>
      </c>
      <c r="O223" s="1" t="inlineStr">
        <is>
          <t>2026-09-11</t>
        </is>
      </c>
      <c r="P223" s="47" t="inlineStr">
        <is>
          <t>уточнить</t>
        </is>
      </c>
      <c r="Q22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24">
      <c r="A224" s="1" t="inlineStr">
        <is>
          <t>1_Ремонт</t>
        </is>
      </c>
      <c r="B224" s="1" t="n">
        <v>55</v>
      </c>
      <c r="C224" s="1" t="inlineStr">
        <is>
          <t>7. Работы</t>
        </is>
      </c>
      <c r="D224" s="1" t="inlineStr">
        <is>
          <t>Поклейка обоев</t>
        </is>
      </c>
      <c r="E224" s="1" t="inlineStr">
        <is>
          <t>м²</t>
        </is>
      </c>
      <c r="F224" s="1" t="inlineStr">
        <is>
          <t>МИН</t>
        </is>
      </c>
      <c r="G224" s="1" t="inlineStr">
        <is>
          <t>частник Profi.ru Саратов</t>
        </is>
      </c>
      <c r="H224" s="43" t="n">
        <v>180</v>
      </c>
      <c r="I224" s="43" t="n">
        <v>250</v>
      </c>
      <c r="J224" s="44" t="n">
        <v>-28</v>
      </c>
      <c r="K224" s="1" t="inlineStr">
        <is>
          <t>Profi.ru Саратов</t>
        </is>
      </c>
      <c r="L224" s="1" t="inlineStr">
        <is>
          <t>Саратов</t>
        </is>
      </c>
      <c r="M224" s="45" t="inlineStr">
        <is>
          <t>https://profi.ru/geo-saratov/remont/oboi/pokleika-oboev/price/</t>
        </is>
      </c>
      <c r="N224" s="1" t="inlineStr">
        <is>
          <t>сниппет</t>
        </is>
      </c>
      <c r="O224" s="1" t="inlineStr">
        <is>
          <t>2026-09-11</t>
        </is>
      </c>
      <c r="P224" s="46" t="inlineStr">
        <is>
          <t>ок</t>
        </is>
      </c>
      <c r="Q224" s="1" t="inlineStr">
        <is>
          <t>Profi: «от 180, в среднем 250, максимум 400 ₽/м²»; Корона-ремонт флизелин 110 ₽/м²</t>
        </is>
      </c>
    </row>
    <row r="225">
      <c r="A225" s="1" t="inlineStr">
        <is>
          <t>1_Ремонт</t>
        </is>
      </c>
      <c r="B225" s="1" t="n">
        <v>55</v>
      </c>
      <c r="C225" s="1" t="inlineStr">
        <is>
          <t>7. Работы</t>
        </is>
      </c>
      <c r="D225" s="1" t="inlineStr">
        <is>
          <t>Поклейка обоев</t>
        </is>
      </c>
      <c r="E225" s="1" t="inlineStr">
        <is>
          <t>м²</t>
        </is>
      </c>
      <c r="F225" s="1" t="inlineStr">
        <is>
          <t>СРЕД</t>
        </is>
      </c>
      <c r="G225" s="1" t="inlineStr">
        <is>
          <t>фирма с договором (Proff-remont, гарантия 3 г.)</t>
        </is>
      </c>
      <c r="H225" s="43" t="n">
        <v>250</v>
      </c>
      <c r="I225" s="43" t="n">
        <v>350</v>
      </c>
      <c r="J225" s="44" t="n">
        <v>-28.6</v>
      </c>
      <c r="K225" s="1" t="inlineStr">
        <is>
          <t>Proff-remont Саратов</t>
        </is>
      </c>
      <c r="L225" s="1" t="inlineStr">
        <is>
          <t>Саратов</t>
        </is>
      </c>
      <c r="M225" s="45" t="inlineStr">
        <is>
          <t>https://saratov.proff-remont.ru/ceny/</t>
        </is>
      </c>
      <c r="N225" s="1" t="inlineStr">
        <is>
          <t>прайс-лист</t>
        </is>
      </c>
      <c r="O225" s="1" t="inlineStr">
        <is>
          <t>2026-09-11</t>
        </is>
      </c>
      <c r="P225" s="46" t="inlineStr">
        <is>
          <t>ок</t>
        </is>
      </c>
      <c r="Q225" s="1" t="inlineStr">
        <is>
          <t>«Поклейка виниловых обоев» 250 ₽/м², флизелиновых 240; Гарант 224; Рэмо64 от 150</t>
        </is>
      </c>
    </row>
    <row r="226">
      <c r="A226" s="1" t="inlineStr">
        <is>
          <t>1_Ремонт</t>
        </is>
      </c>
      <c r="B226" s="1" t="n">
        <v>55</v>
      </c>
      <c r="C226" s="1" t="inlineStr">
        <is>
          <t>7. Работы</t>
        </is>
      </c>
      <c r="D226" s="1" t="inlineStr">
        <is>
          <t>Поклейка обоев</t>
        </is>
      </c>
      <c r="E226" s="1" t="inlineStr">
        <is>
          <t>м²</t>
        </is>
      </c>
      <c r="F226" s="1" t="inlineStr">
        <is>
          <t>МАКС</t>
        </is>
      </c>
      <c r="G226" s="1" t="inlineStr">
        <is>
          <t>фирма с договором и гарантией 24 мес (РЕМСТРОЙ64)</t>
        </is>
      </c>
      <c r="H226" s="43" t="n">
        <v>511</v>
      </c>
      <c r="I226" s="43" t="n">
        <v>600</v>
      </c>
      <c r="J226" s="44" t="n">
        <v>-14.8</v>
      </c>
      <c r="K226" s="1" t="inlineStr">
        <is>
          <t>РЕМСТРОЙ64 (saratov.s5r.ru)</t>
        </is>
      </c>
      <c r="L226" s="1" t="inlineStr">
        <is>
          <t>Саратов</t>
        </is>
      </c>
      <c r="M226" s="45" t="inlineStr">
        <is>
          <t>https://saratov.s5r.ru/poklejka-oboev</t>
        </is>
      </c>
      <c r="N226" s="1" t="inlineStr">
        <is>
          <t>прайс-лист</t>
        </is>
      </c>
      <c r="O226" s="1" t="inlineStr">
        <is>
          <t>2026-09-11</t>
        </is>
      </c>
      <c r="P226" s="46" t="inlineStr">
        <is>
          <t>ок</t>
        </is>
      </c>
      <c r="Q226" s="1" t="inlineStr">
        <is>
          <t>Текстильные обои 511 ₽/м² (сценарий МАКС сметы); винил/флизелин с подбором рисунка 256; фотообои 563</t>
        </is>
      </c>
    </row>
    <row r="227">
      <c r="A227" s="1" t="inlineStr">
        <is>
          <t>1_Ремонт</t>
        </is>
      </c>
      <c r="B227" s="1" t="n">
        <v>55</v>
      </c>
      <c r="C227" s="1" t="inlineStr">
        <is>
          <t>7. Работы</t>
        </is>
      </c>
      <c r="D227" s="1" t="inlineStr">
        <is>
          <t>Поклейка обоев</t>
        </is>
      </c>
      <c r="E227" s="1" t="inlineStr">
        <is>
          <t>м²</t>
        </is>
      </c>
      <c r="F227" s="1" t="inlineStr">
        <is>
          <t>ВСЕ</t>
        </is>
      </c>
      <c r="G227" s="1" t="inlineStr">
        <is>
          <t>Авито Саратов — поиск «Поклейка обоев» (услуги мастеров)</t>
        </is>
      </c>
      <c r="H227" s="43" t="n"/>
      <c r="I227" s="43" t="n"/>
      <c r="J227" s="44" t="n"/>
      <c r="K227" s="1" t="inlineStr">
        <is>
          <t>Авито Саратов</t>
        </is>
      </c>
      <c r="L227" s="1" t="inlineStr">
        <is>
          <t>Саратов</t>
        </is>
      </c>
      <c r="M227" s="45" t="inlineStr">
        <is>
          <t>https://www.avito.ru/saratov/predlozheniya_uslug?q=%D0%9F%D0%BE%D0%BA%D0%BB%D0%B5%D0%B9%D0%BA%D0%B0%20%D0%BE%D0%B1%D0%BE%D0%B5%D0%B2%20%D0%A1%D0%B0%D1%80%D0%B0%D1%82%D0%BE%D0%B2</t>
        </is>
      </c>
      <c r="N227" s="1" t="inlineStr">
        <is>
          <t>не проверено</t>
        </is>
      </c>
      <c r="O227" s="1" t="inlineStr">
        <is>
          <t>2026-09-11</t>
        </is>
      </c>
      <c r="P227" s="47" t="inlineStr">
        <is>
          <t>уточнить</t>
        </is>
      </c>
      <c r="Q22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28">
      <c r="A228" s="1" t="inlineStr">
        <is>
          <t>1_Ремонт</t>
        </is>
      </c>
      <c r="B228" s="1" t="n">
        <v>56</v>
      </c>
      <c r="C228" s="1" t="inlineStr">
        <is>
          <t>7. Работы</t>
        </is>
      </c>
      <c r="D228" s="1" t="inlineStr">
        <is>
          <t>Акцентная стена (работа)</t>
        </is>
      </c>
      <c r="E228" s="1" t="inlineStr">
        <is>
          <t>компл</t>
        </is>
      </c>
      <c r="F228" s="1" t="inlineStr">
        <is>
          <t>МИН</t>
        </is>
      </c>
      <c r="G228" s="1" t="inlineStr">
        <is>
          <t>частник Profi.ru Саратов (декоративная штукатурка)</t>
        </is>
      </c>
      <c r="H228" s="43" t="n">
        <v>4500</v>
      </c>
      <c r="I228" s="43" t="n">
        <v>0</v>
      </c>
      <c r="J228" s="44" t="n"/>
      <c r="K228" s="1" t="inlineStr">
        <is>
          <t>Profi.ru Саратов</t>
        </is>
      </c>
      <c r="L228" s="1" t="inlineStr">
        <is>
          <t>Саратов</t>
        </is>
      </c>
      <c r="M228" s="45" t="inlineStr">
        <is>
          <t>https://profi.ru/geo-saratov/remont/dekorativnaja_shtukaturka_v_zale/</t>
        </is>
      </c>
      <c r="N228" s="1" t="inlineStr">
        <is>
          <t>сниппет</t>
        </is>
      </c>
      <c r="O228" s="1" t="inlineStr">
        <is>
          <t>2026-09-11</t>
        </is>
      </c>
      <c r="P228" s="46" t="inlineStr">
        <is>
          <t>ок</t>
        </is>
      </c>
      <c r="Q228" s="1" t="inlineStr">
        <is>
          <t>«Декоративная штукатурка в зале от 450 ₽/м²» × 10 м² = 4 500 ₽; смета МИН 0 (стена без декора)</t>
        </is>
      </c>
    </row>
    <row r="229">
      <c r="A229" s="1" t="inlineStr">
        <is>
          <t>1_Ремонт</t>
        </is>
      </c>
      <c r="B229" s="1" t="n">
        <v>56</v>
      </c>
      <c r="C229" s="1" t="inlineStr">
        <is>
          <t>7. Работы</t>
        </is>
      </c>
      <c r="D229" s="1" t="inlineStr">
        <is>
          <t>Акцентная стена (работа)</t>
        </is>
      </c>
      <c r="E229" s="1" t="inlineStr">
        <is>
          <t>компл</t>
        </is>
      </c>
      <c r="F229" s="1" t="inlineStr">
        <is>
          <t>СРЕД</t>
        </is>
      </c>
      <c r="G229" s="1" t="inlineStr">
        <is>
          <t>мастер Profi.ru Саратов (средняя)</t>
        </is>
      </c>
      <c r="H229" s="43" t="n">
        <v>8000</v>
      </c>
      <c r="I229" s="43" t="n">
        <v>8000</v>
      </c>
      <c r="J229" s="44" t="n">
        <v>0</v>
      </c>
      <c r="K229" s="1" t="inlineStr">
        <is>
          <t>Profi.ru Саратов</t>
        </is>
      </c>
      <c r="L229" s="1" t="inlineStr">
        <is>
          <t>Саратов</t>
        </is>
      </c>
      <c r="M229" s="45" t="inlineStr">
        <is>
          <t>https://profi.ru/geo-saratov/remont/dekorativnaja_shtukaturka_v_zale/</t>
        </is>
      </c>
      <c r="N229" s="1" t="inlineStr">
        <is>
          <t>сниппет</t>
        </is>
      </c>
      <c r="O229" s="1" t="inlineStr">
        <is>
          <t>2026-09-11</t>
        </is>
      </c>
      <c r="P229" s="46" t="inlineStr">
        <is>
          <t>ок</t>
        </is>
      </c>
      <c r="Q229" s="1" t="inlineStr">
        <is>
          <t>Средняя 800 ₽/м² × 10 м² = 8 000 ₽ — совпадает со сметой</t>
        </is>
      </c>
    </row>
    <row r="230">
      <c r="A230" s="1" t="inlineStr">
        <is>
          <t>1_Ремонт</t>
        </is>
      </c>
      <c r="B230" s="1" t="n">
        <v>56</v>
      </c>
      <c r="C230" s="1" t="inlineStr">
        <is>
          <t>7. Работы</t>
        </is>
      </c>
      <c r="D230" s="1" t="inlineStr">
        <is>
          <t>Акцентная стена (работа)</t>
        </is>
      </c>
      <c r="E230" s="1" t="inlineStr">
        <is>
          <t>компл</t>
        </is>
      </c>
      <c r="F230" s="1" t="inlineStr">
        <is>
          <t>МАКС</t>
        </is>
      </c>
      <c r="G230" s="1" t="inlineStr">
        <is>
          <t>мастер Profi.ru Саратов (верх диапазона, венецианка)</t>
        </is>
      </c>
      <c r="H230" s="43" t="n">
        <v>30000</v>
      </c>
      <c r="I230" s="43" t="n">
        <v>30000</v>
      </c>
      <c r="J230" s="44" t="n">
        <v>0</v>
      </c>
      <c r="K230" s="1" t="inlineStr">
        <is>
          <t>Profi.ru Саратов</t>
        </is>
      </c>
      <c r="L230" s="1" t="inlineStr">
        <is>
          <t>Саратов</t>
        </is>
      </c>
      <c r="M230" s="45" t="inlineStr">
        <is>
          <t>https://profi.ru/geo-saratov/remont/dekorativnaja_shtukaturka_v_zale/</t>
        </is>
      </c>
      <c r="N230" s="1" t="inlineStr">
        <is>
          <t>сниппет</t>
        </is>
      </c>
      <c r="O230" s="1" t="inlineStr">
        <is>
          <t>2026-09-11</t>
        </is>
      </c>
      <c r="P230" s="46" t="inlineStr">
        <is>
          <t>ок</t>
        </is>
      </c>
      <c r="Q230" s="1" t="inlineStr">
        <is>
          <t>Максимум 3 000 ₽/м² × 10 м² = 30 000 ₽ — совпадает со сметой; prof-otdel.ru (Саратов) закрыт 403</t>
        </is>
      </c>
    </row>
    <row r="231">
      <c r="A231" s="1" t="inlineStr">
        <is>
          <t>1_Ремонт</t>
        </is>
      </c>
      <c r="B231" s="1" t="n">
        <v>56</v>
      </c>
      <c r="C231" s="1" t="inlineStr">
        <is>
          <t>7. Работы</t>
        </is>
      </c>
      <c r="D231" s="1" t="inlineStr">
        <is>
          <t>Акцентная стена (работа)</t>
        </is>
      </c>
      <c r="E231" s="1" t="inlineStr">
        <is>
          <t>компл</t>
        </is>
      </c>
      <c r="F231" s="1" t="inlineStr">
        <is>
          <t>ВСЕ</t>
        </is>
      </c>
      <c r="G231" s="1" t="inlineStr">
        <is>
          <t>Авито Саратов — поиск «Акцентная стена» (услуги мастеров)</t>
        </is>
      </c>
      <c r="H231" s="43" t="n"/>
      <c r="I231" s="43" t="n"/>
      <c r="J231" s="44" t="n"/>
      <c r="K231" s="1" t="inlineStr">
        <is>
          <t>Авито Саратов</t>
        </is>
      </c>
      <c r="L231" s="1" t="inlineStr">
        <is>
          <t>Саратов</t>
        </is>
      </c>
      <c r="M231" s="45" t="inlineStr">
        <is>
          <t>https://www.avito.ru/saratov/predlozheniya_uslug?q=%D0%90%D0%BA%D1%86%D0%B5%D0%BD%D1%82%D0%BD%D0%B0%D1%8F%20%D1%81%D1%82%D0%B5%D0%BD%D0%B0%20%D0%A1%D0%B0%D1%80%D0%B0%D1%82%D0%BE%D0%B2</t>
        </is>
      </c>
      <c r="N231" s="1" t="inlineStr">
        <is>
          <t>не проверено</t>
        </is>
      </c>
      <c r="O231" s="1" t="inlineStr">
        <is>
          <t>2026-09-11</t>
        </is>
      </c>
      <c r="P231" s="47" t="inlineStr">
        <is>
          <t>уточнить</t>
        </is>
      </c>
      <c r="Q23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32">
      <c r="A232" s="1" t="inlineStr">
        <is>
          <t>1_Ремонт</t>
        </is>
      </c>
      <c r="B232" s="1" t="n">
        <v>57</v>
      </c>
      <c r="C232" s="1" t="inlineStr">
        <is>
          <t>7. Работы</t>
        </is>
      </c>
      <c r="D232" s="1" t="inlineStr">
        <is>
          <t>Установка стандартной двери</t>
        </is>
      </c>
      <c r="E232" s="1" t="inlineStr">
        <is>
          <t>шт</t>
        </is>
      </c>
      <c r="F232" s="1" t="inlineStr">
        <is>
          <t>МИН</t>
        </is>
      </c>
      <c r="G232" s="1" t="inlineStr">
        <is>
          <t>сервис частных мастеров «Мастер в дом»</t>
        </is>
      </c>
      <c r="H232" s="43" t="n">
        <v>1490</v>
      </c>
      <c r="I232" s="43" t="n">
        <v>4000</v>
      </c>
      <c r="J232" s="48" t="n">
        <v>-62.7</v>
      </c>
      <c r="K232" s="1" t="inlineStr">
        <is>
          <t>mastervdom.ru Саратов</t>
        </is>
      </c>
      <c r="L232" s="1" t="inlineStr">
        <is>
          <t>Саратов</t>
        </is>
      </c>
      <c r="M232" s="45" t="inlineStr">
        <is>
          <t>https://saratov.mastervdom.ru/uslugi-plotnika/ustanovka-razdvizhnyh-mezhkomnatnyh-dverej/</t>
        </is>
      </c>
      <c r="N232" s="1" t="inlineStr">
        <is>
          <t>страница</t>
        </is>
      </c>
      <c r="O232" s="1" t="inlineStr">
        <is>
          <t>2026-09-11</t>
        </is>
      </c>
      <c r="P232" s="46" t="inlineStr">
        <is>
          <t>ок</t>
        </is>
      </c>
      <c r="Q232" s="1" t="inlineStr">
        <is>
          <t>«Установка обычных межкомнатных дверей» 1 490 ₽/шт; гарантия 6 мес–3 года</t>
        </is>
      </c>
    </row>
    <row r="233">
      <c r="A233" s="1" t="inlineStr">
        <is>
          <t>1_Ремонт</t>
        </is>
      </c>
      <c r="B233" s="1" t="n">
        <v>57</v>
      </c>
      <c r="C233" s="1" t="inlineStr">
        <is>
          <t>7. Работы</t>
        </is>
      </c>
      <c r="D233" s="1" t="inlineStr">
        <is>
          <t>Установка стандартной двери</t>
        </is>
      </c>
      <c r="E233" s="1" t="inlineStr">
        <is>
          <t>шт</t>
        </is>
      </c>
      <c r="F233" s="1" t="inlineStr">
        <is>
          <t>СРЕД</t>
        </is>
      </c>
      <c r="G233" s="1" t="inlineStr">
        <is>
          <t>мастер Profi.ru Саратов</t>
        </is>
      </c>
      <c r="H233" s="43" t="n">
        <v>2000</v>
      </c>
      <c r="I233" s="43" t="n">
        <v>6000</v>
      </c>
      <c r="J233" s="48" t="n">
        <v>-66.7</v>
      </c>
      <c r="K233" s="1" t="inlineStr">
        <is>
          <t>Profi.ru Саратов</t>
        </is>
      </c>
      <c r="L233" s="1" t="inlineStr">
        <is>
          <t>Саратов</t>
        </is>
      </c>
      <c r="M233" s="45" t="inlineStr">
        <is>
          <t>https://profi.ru/geo-saratov/remont/dveri/ustanovka-mezhkomnatnyh-dverei/price/</t>
        </is>
      </c>
      <c r="N233" s="1" t="inlineStr">
        <is>
          <t>страница</t>
        </is>
      </c>
      <c r="O233" s="1" t="inlineStr">
        <is>
          <t>2026-09-11</t>
        </is>
      </c>
      <c r="P233" s="46" t="inlineStr">
        <is>
          <t>ок</t>
        </is>
      </c>
      <c r="Q233" s="1" t="inlineStr">
        <is>
          <t>Базовая установка межкомнатной двери 2 000 ₽/шт; распашные от 2 690 ₽</t>
        </is>
      </c>
    </row>
    <row r="234">
      <c r="A234" s="1" t="inlineStr">
        <is>
          <t>1_Ремонт</t>
        </is>
      </c>
      <c r="B234" s="1" t="n">
        <v>57</v>
      </c>
      <c r="C234" s="1" t="inlineStr">
        <is>
          <t>7. Работы</t>
        </is>
      </c>
      <c r="D234" s="1" t="inlineStr">
        <is>
          <t>Установка стандартной двери</t>
        </is>
      </c>
      <c r="E234" s="1" t="inlineStr">
        <is>
          <t>шт</t>
        </is>
      </c>
      <c r="F234" s="1" t="inlineStr">
        <is>
          <t>МАКС</t>
        </is>
      </c>
      <c r="G234" s="1" t="inlineStr">
        <is>
          <t>бригада с договором (Гарант.Строй Комплекс)</t>
        </is>
      </c>
      <c r="H234" s="43" t="n">
        <v>2011</v>
      </c>
      <c r="I234" s="43" t="n">
        <v>10000</v>
      </c>
      <c r="J234" s="48" t="n">
        <v>-79.90000000000001</v>
      </c>
      <c r="K234" s="1" t="inlineStr">
        <is>
          <t>Гарант.Строй Комплекс</t>
        </is>
      </c>
      <c r="L234" s="1" t="inlineStr">
        <is>
          <t>Саратов</t>
        </is>
      </c>
      <c r="M234" s="45" t="inlineStr">
        <is>
          <t>https://saratov.garantstroikompleks.ru/prajs-list</t>
        </is>
      </c>
      <c r="N234" s="1" t="inlineStr">
        <is>
          <t>прайс-лист</t>
        </is>
      </c>
      <c r="O234" s="1" t="inlineStr">
        <is>
          <t>2026-09-11</t>
        </is>
      </c>
      <c r="P234" s="46" t="inlineStr">
        <is>
          <t>ок</t>
        </is>
      </c>
      <c r="Q234" s="1" t="inlineStr">
        <is>
          <t>«Установка одностворчатой двери» 2 011 ₽; Корона-ремонт 1 890 ₽. Смета 4 000/6 000/10 000 в 2–5 раз выше рынка</t>
        </is>
      </c>
    </row>
    <row r="235">
      <c r="A235" s="1" t="inlineStr">
        <is>
          <t>1_Ремонт</t>
        </is>
      </c>
      <c r="B235" s="1" t="n">
        <v>57</v>
      </c>
      <c r="C235" s="1" t="inlineStr">
        <is>
          <t>7. Работы</t>
        </is>
      </c>
      <c r="D235" s="1" t="inlineStr">
        <is>
          <t>Установка стандартной двери</t>
        </is>
      </c>
      <c r="E235" s="1" t="inlineStr">
        <is>
          <t>шт</t>
        </is>
      </c>
      <c r="F235" s="1" t="inlineStr">
        <is>
          <t>ВСЕ</t>
        </is>
      </c>
      <c r="G235" s="1" t="inlineStr">
        <is>
          <t>Авито Саратов — поиск «Установка стандартной двери» (услуги мастеров)</t>
        </is>
      </c>
      <c r="H235" s="43" t="n"/>
      <c r="I235" s="43" t="n"/>
      <c r="J235" s="44" t="n"/>
      <c r="K235" s="1" t="inlineStr">
        <is>
          <t>Авито Саратов</t>
        </is>
      </c>
      <c r="L235" s="1" t="inlineStr">
        <is>
          <t>Саратов</t>
        </is>
      </c>
      <c r="M235" s="45" t="inlineStr">
        <is>
          <t>https://www.avito.ru/saratov/predlozheniya_uslug?q=%D0%A3%D1%81%D1%82%D0%B0%D0%BD%D0%BE%D0%B2%D0%BA%D0%B0%20%D1%81%D1%82%D0%B0%D0%BD%D0%B4%D0%B0%D1%80%D1%82%D0%BD%D0%BE%D0%B9%20%D0%B4%D0%B2%D0%B5%D1%80%D0%B8%20%D0%A1%D0%B0%D1%80%D0%B0%D1%82%D0%BE%D0%B2</t>
        </is>
      </c>
      <c r="N235" s="1" t="inlineStr">
        <is>
          <t>не проверено</t>
        </is>
      </c>
      <c r="O235" s="1" t="inlineStr">
        <is>
          <t>2026-09-11</t>
        </is>
      </c>
      <c r="P235" s="47" t="inlineStr">
        <is>
          <t>уточнить</t>
        </is>
      </c>
      <c r="Q23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36">
      <c r="A236" s="1" t="inlineStr">
        <is>
          <t>1_Ремонт</t>
        </is>
      </c>
      <c r="B236" s="1" t="n">
        <v>58</v>
      </c>
      <c r="C236" s="1" t="inlineStr">
        <is>
          <t>7. Работы</t>
        </is>
      </c>
      <c r="D236" s="1" t="inlineStr">
        <is>
          <t>Установка широкой/раздвижной двери</t>
        </is>
      </c>
      <c r="E236" s="1" t="inlineStr">
        <is>
          <t>шт</t>
        </is>
      </c>
      <c r="F236" s="1" t="inlineStr">
        <is>
          <t>МИН</t>
        </is>
      </c>
      <c r="G236" s="1" t="inlineStr">
        <is>
          <t>сервис частных мастеров «Мастер в дом»</t>
        </is>
      </c>
      <c r="H236" s="43" t="n">
        <v>1690</v>
      </c>
      <c r="I236" s="43" t="n">
        <v>7000</v>
      </c>
      <c r="J236" s="48" t="n">
        <v>-75.90000000000001</v>
      </c>
      <c r="K236" s="1" t="inlineStr">
        <is>
          <t>mastervdom.ru Саратов</t>
        </is>
      </c>
      <c r="L236" s="1" t="inlineStr">
        <is>
          <t>Саратов</t>
        </is>
      </c>
      <c r="M236" s="45" t="inlineStr">
        <is>
          <t>https://saratov.mastervdom.ru/uslugi-plotnika/ustanovka-razdvizhnyh-mezhkomnatnyh-dverej/</t>
        </is>
      </c>
      <c r="N236" s="1" t="inlineStr">
        <is>
          <t>страница</t>
        </is>
      </c>
      <c r="O236" s="1" t="inlineStr">
        <is>
          <t>2026-09-11</t>
        </is>
      </c>
      <c r="P236" s="46" t="inlineStr">
        <is>
          <t>ок</t>
        </is>
      </c>
      <c r="Q236" s="1" t="inlineStr">
        <is>
          <t>«Установка раздвижных межкомнатных дверей» 1 690 ₽/шт</t>
        </is>
      </c>
    </row>
    <row r="237">
      <c r="A237" s="1" t="inlineStr">
        <is>
          <t>1_Ремонт</t>
        </is>
      </c>
      <c r="B237" s="1" t="n">
        <v>58</v>
      </c>
      <c r="C237" s="1" t="inlineStr">
        <is>
          <t>7. Работы</t>
        </is>
      </c>
      <c r="D237" s="1" t="inlineStr">
        <is>
          <t>Установка широкой/раздвижной двери</t>
        </is>
      </c>
      <c r="E237" s="1" t="inlineStr">
        <is>
          <t>шт</t>
        </is>
      </c>
      <c r="F237" s="1" t="inlineStr">
        <is>
          <t>СРЕД</t>
        </is>
      </c>
      <c r="G237" s="1" t="inlineStr">
        <is>
          <t>мастер Profi.ru Саратов</t>
        </is>
      </c>
      <c r="H237" s="43" t="n">
        <v>2580</v>
      </c>
      <c r="I237" s="43" t="n">
        <v>10000</v>
      </c>
      <c r="J237" s="48" t="n">
        <v>-74.2</v>
      </c>
      <c r="K237" s="1" t="inlineStr">
        <is>
          <t>Profi.ru Саратов</t>
        </is>
      </c>
      <c r="L237" s="1" t="inlineStr">
        <is>
          <t>Саратов</t>
        </is>
      </c>
      <c r="M237" s="45" t="inlineStr">
        <is>
          <t>https://profi.ru/geo-saratov/remont/dveri/ustanovka-mezhkomnatnyh-dverei/price/</t>
        </is>
      </c>
      <c r="N237" s="1" t="inlineStr">
        <is>
          <t>страница</t>
        </is>
      </c>
      <c r="O237" s="1" t="inlineStr">
        <is>
          <t>2026-09-11</t>
        </is>
      </c>
      <c r="P237" s="46" t="inlineStr">
        <is>
          <t>ок</t>
        </is>
      </c>
      <c r="Q237" s="1" t="inlineStr">
        <is>
          <t>Раздвижные двери от 2 580 ₽/шт, двери-купе от 2 690 ₽</t>
        </is>
      </c>
    </row>
    <row r="238">
      <c r="A238" s="1" t="inlineStr">
        <is>
          <t>1_Ремонт</t>
        </is>
      </c>
      <c r="B238" s="1" t="n">
        <v>58</v>
      </c>
      <c r="C238" s="1" t="inlineStr">
        <is>
          <t>7. Работы</t>
        </is>
      </c>
      <c r="D238" s="1" t="inlineStr">
        <is>
          <t>Установка широкой/раздвижной двери</t>
        </is>
      </c>
      <c r="E238" s="1" t="inlineStr">
        <is>
          <t>шт</t>
        </is>
      </c>
      <c r="F238" s="1" t="inlineStr">
        <is>
          <t>МАКС</t>
        </is>
      </c>
      <c r="G238" s="1" t="inlineStr">
        <is>
          <t>верх диапазона Profi.ru Саратов (стеклянные/сложные)</t>
        </is>
      </c>
      <c r="H238" s="43" t="n">
        <v>9230</v>
      </c>
      <c r="I238" s="43" t="n">
        <v>20000</v>
      </c>
      <c r="J238" s="48" t="n">
        <v>-53.8</v>
      </c>
      <c r="K238" s="1" t="inlineStr">
        <is>
          <t>Profi.ru Саратов</t>
        </is>
      </c>
      <c r="L238" s="1" t="inlineStr">
        <is>
          <t>Саратов</t>
        </is>
      </c>
      <c r="M238" s="45" t="inlineStr">
        <is>
          <t>https://profi.ru/geo-saratov/remont/dveri/ustanovka-mezhkomnatnyh-dverei/price/</t>
        </is>
      </c>
      <c r="N238" s="1" t="inlineStr">
        <is>
          <t>страница</t>
        </is>
      </c>
      <c r="O238" s="1" t="inlineStr">
        <is>
          <t>2026-09-11</t>
        </is>
      </c>
      <c r="P238" s="46" t="inlineStr">
        <is>
          <t>ок</t>
        </is>
      </c>
      <c r="Q238" s="1" t="inlineStr">
        <is>
          <t>Максимум на Profi 9 230 ₽/шт (стеклянные двери в спец. помещения); Лемана ПРО Саратов закрыт 401</t>
        </is>
      </c>
    </row>
    <row r="239">
      <c r="A239" s="1" t="inlineStr">
        <is>
          <t>1_Ремонт</t>
        </is>
      </c>
      <c r="B239" s="1" t="n">
        <v>58</v>
      </c>
      <c r="C239" s="1" t="inlineStr">
        <is>
          <t>7. Работы</t>
        </is>
      </c>
      <c r="D239" s="1" t="inlineStr">
        <is>
          <t>Установка широкой/раздвижной двери</t>
        </is>
      </c>
      <c r="E239" s="1" t="inlineStr">
        <is>
          <t>шт</t>
        </is>
      </c>
      <c r="F239" s="1" t="inlineStr">
        <is>
          <t>ВСЕ</t>
        </is>
      </c>
      <c r="G239" s="1" t="inlineStr">
        <is>
          <t>Авито Саратов — поиск «Установка широкой/раздвижной двери» (услуги мастеров)</t>
        </is>
      </c>
      <c r="H239" s="43" t="n"/>
      <c r="I239" s="43" t="n"/>
      <c r="J239" s="44" t="n"/>
      <c r="K239" s="1" t="inlineStr">
        <is>
          <t>Авито Саратов</t>
        </is>
      </c>
      <c r="L239" s="1" t="inlineStr">
        <is>
          <t>Саратов</t>
        </is>
      </c>
      <c r="M239" s="45" t="inlineStr">
        <is>
          <t>https://www.avito.ru/saratov/predlozheniya_uslug?q=%D0%A3%D1%81%D1%82%D0%B0%D0%BD%D0%BE%D0%B2%D0%BA%D0%B0%20%D1%88%D0%B8%D1%80%D0%BE%D0%BA%D0%BE%D0%B9/%D1%80%D0%B0%D0%B7%D0%B4%D0%B2%D0%B8%D0%B6%D0%BD%D0%BE%D0%B9%20%D0%B4%D0%B2%D0%B5%D1%80%D0%B8%20%D0%A1%D0%B0%D1%80%D0%B0%D1%82%D0%BE%D0%B2</t>
        </is>
      </c>
      <c r="N239" s="1" t="inlineStr">
        <is>
          <t>не проверено</t>
        </is>
      </c>
      <c r="O239" s="1" t="inlineStr">
        <is>
          <t>2026-09-11</t>
        </is>
      </c>
      <c r="P239" s="47" t="inlineStr">
        <is>
          <t>уточнить</t>
        </is>
      </c>
      <c r="Q23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40">
      <c r="A240" s="1" t="inlineStr">
        <is>
          <t>1_Ремонт</t>
        </is>
      </c>
      <c r="B240" s="1" t="n">
        <v>59</v>
      </c>
      <c r="C240" s="1" t="inlineStr">
        <is>
          <t>7. Работы</t>
        </is>
      </c>
      <c r="D240" s="1" t="inlineStr">
        <is>
          <t>Финальная уборка (клининг)</t>
        </is>
      </c>
      <c r="E240" s="1" t="inlineStr">
        <is>
          <t>компл</t>
        </is>
      </c>
      <c r="F240" s="1" t="inlineStr">
        <is>
          <t>МИН</t>
        </is>
      </c>
      <c r="G240" s="1" t="inlineStr">
        <is>
          <t>частник Profi.ru Саратов (уборка после ремонта)</t>
        </is>
      </c>
      <c r="H240" s="43" t="n">
        <v>2600</v>
      </c>
      <c r="I240" s="43" t="n">
        <v>0</v>
      </c>
      <c r="J240" s="44" t="n"/>
      <c r="K240" s="1" t="inlineStr">
        <is>
          <t>Profi.ru Саратов</t>
        </is>
      </c>
      <c r="L240" s="1" t="inlineStr">
        <is>
          <t>Саратов</t>
        </is>
      </c>
      <c r="M240" s="45" t="inlineStr">
        <is>
          <t>https://profi.ru/geo-saratov/domashnii_personal/uborka/uborka-posle-remonta/</t>
        </is>
      </c>
      <c r="N240" s="1" t="inlineStr">
        <is>
          <t>сниппет</t>
        </is>
      </c>
      <c r="O240" s="1" t="inlineStr">
        <is>
          <t>2026-09-11</t>
        </is>
      </c>
      <c r="P240" s="46" t="inlineStr">
        <is>
          <t>ок</t>
        </is>
      </c>
      <c r="Q240" s="1" t="inlineStr">
        <is>
          <t>«от 2 600, в среднем 4 000, максимум 8 580 ₽»; смета МИН 0 (своими силами)</t>
        </is>
      </c>
    </row>
    <row r="241">
      <c r="A241" s="1" t="inlineStr">
        <is>
          <t>1_Ремонт</t>
        </is>
      </c>
      <c r="B241" s="1" t="n">
        <v>59</v>
      </c>
      <c r="C241" s="1" t="inlineStr">
        <is>
          <t>7. Работы</t>
        </is>
      </c>
      <c r="D241" s="1" t="inlineStr">
        <is>
          <t>Финальная уборка (клининг)</t>
        </is>
      </c>
      <c r="E241" s="1" t="inlineStr">
        <is>
          <t>компл</t>
        </is>
      </c>
      <c r="F241" s="1" t="inlineStr">
        <is>
          <t>СРЕД</t>
        </is>
      </c>
      <c r="G241" s="1" t="inlineStr">
        <is>
          <t>служба Гормастер (уборка после ремонта)</t>
        </is>
      </c>
      <c r="H241" s="43" t="n">
        <v>3500</v>
      </c>
      <c r="I241" s="43" t="n">
        <v>8000</v>
      </c>
      <c r="J241" s="48" t="n">
        <v>-56.2</v>
      </c>
      <c r="K241" s="1" t="inlineStr">
        <is>
          <t>Гормастер Саратов</t>
        </is>
      </c>
      <c r="L241" s="1" t="inlineStr">
        <is>
          <t>Саратов</t>
        </is>
      </c>
      <c r="M241" s="45" t="inlineStr">
        <is>
          <t>https://saratov.gor-master.ru/uborka-posle-remonta</t>
        </is>
      </c>
      <c r="N241" s="1" t="inlineStr">
        <is>
          <t>страница</t>
        </is>
      </c>
      <c r="O241" s="1" t="inlineStr">
        <is>
          <t>2026-09-11</t>
        </is>
      </c>
      <c r="P241" s="46" t="inlineStr">
        <is>
          <t>ок</t>
        </is>
      </c>
      <c r="Q241" s="1" t="inlineStr">
        <is>
          <t>Квартира 50–60 м² от 3 500 ₽ (40–50 м² — 2 900; 60–70 м² — 4 100)</t>
        </is>
      </c>
    </row>
    <row r="242">
      <c r="A242" s="1" t="inlineStr">
        <is>
          <t>1_Ремонт</t>
        </is>
      </c>
      <c r="B242" s="1" t="n">
        <v>59</v>
      </c>
      <c r="C242" s="1" t="inlineStr">
        <is>
          <t>7. Работы</t>
        </is>
      </c>
      <c r="D242" s="1" t="inlineStr">
        <is>
          <t>Финальная уборка (клининг)</t>
        </is>
      </c>
      <c r="E242" s="1" t="inlineStr">
        <is>
          <t>компл</t>
        </is>
      </c>
      <c r="F242" s="1" t="inlineStr">
        <is>
          <t>МАКС</t>
        </is>
      </c>
      <c r="G242" s="1" t="inlineStr">
        <is>
          <t>клининговая компания (верх Profi.ru)</t>
        </is>
      </c>
      <c r="H242" s="43" t="n">
        <v>8580</v>
      </c>
      <c r="I242" s="43" t="n">
        <v>15000</v>
      </c>
      <c r="J242" s="48" t="n">
        <v>-42.8</v>
      </c>
      <c r="K242" s="1" t="inlineStr">
        <is>
          <t>Profi.ru Саратов</t>
        </is>
      </c>
      <c r="L242" s="1" t="inlineStr">
        <is>
          <t>Саратов</t>
        </is>
      </c>
      <c r="M242" s="45" t="inlineStr">
        <is>
          <t>https://profi.ru/geo-saratov/domashnii_personal/uborka/uborka-posle-remonta/</t>
        </is>
      </c>
      <c r="N242" s="1" t="inlineStr">
        <is>
          <t>сниппет</t>
        </is>
      </c>
      <c r="O242" s="1" t="inlineStr">
        <is>
          <t>2026-09-11</t>
        </is>
      </c>
      <c r="P242" s="46" t="inlineStr">
        <is>
          <t>ок</t>
        </is>
      </c>
      <c r="Q242" s="1" t="inlineStr">
        <is>
          <t>Максимум на Profi 8 580 ₽; Гарант.Строй Комплекс — «клининговые услуги — договор» без цены</t>
        </is>
      </c>
    </row>
    <row r="243">
      <c r="A243" s="1" t="inlineStr">
        <is>
          <t>1_Ремонт</t>
        </is>
      </c>
      <c r="B243" s="1" t="n">
        <v>59</v>
      </c>
      <c r="C243" s="1" t="inlineStr">
        <is>
          <t>7. Работы</t>
        </is>
      </c>
      <c r="D243" s="1" t="inlineStr">
        <is>
          <t>Финальная уборка (клининг)</t>
        </is>
      </c>
      <c r="E243" s="1" t="inlineStr">
        <is>
          <t>компл</t>
        </is>
      </c>
      <c r="F243" s="1" t="inlineStr">
        <is>
          <t>ВСЕ</t>
        </is>
      </c>
      <c r="G243" s="1" t="inlineStr">
        <is>
          <t>Авито Саратов — поиск «Финальная уборка» (услуги мастеров)</t>
        </is>
      </c>
      <c r="H243" s="43" t="n"/>
      <c r="I243" s="43" t="n"/>
      <c r="J243" s="44" t="n"/>
      <c r="K243" s="1" t="inlineStr">
        <is>
          <t>Авито Саратов</t>
        </is>
      </c>
      <c r="L243" s="1" t="inlineStr">
        <is>
          <t>Саратов</t>
        </is>
      </c>
      <c r="M243" s="45" t="inlineStr">
        <is>
          <t>https://www.avito.ru/saratov/predlozheniya_uslug?q=%D0%A4%D0%B8%D0%BD%D0%B0%D0%BB%D1%8C%D0%BD%D0%B0%D1%8F%20%D1%83%D0%B1%D0%BE%D1%80%D0%BA%D0%B0%20%D0%A1%D0%B0%D1%80%D0%B0%D1%82%D0%BE%D0%B2</t>
        </is>
      </c>
      <c r="N243" s="1" t="inlineStr">
        <is>
          <t>не проверено</t>
        </is>
      </c>
      <c r="O243" s="1" t="inlineStr">
        <is>
          <t>2026-09-11</t>
        </is>
      </c>
      <c r="P243" s="47" t="inlineStr">
        <is>
          <t>уточнить</t>
        </is>
      </c>
      <c r="Q24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44">
      <c r="A244" s="1" t="inlineStr">
        <is>
          <t>1_Ремонт</t>
        </is>
      </c>
      <c r="B244" s="1" t="n">
        <v>60</v>
      </c>
      <c r="C244" s="1" t="inlineStr">
        <is>
          <t>7. Работы</t>
        </is>
      </c>
      <c r="D244" s="1" t="inlineStr">
        <is>
          <t>Доставка, подъём, вынос мусора</t>
        </is>
      </c>
      <c r="E244" s="1" t="inlineStr">
        <is>
          <t>компл</t>
        </is>
      </c>
      <c r="F244" s="1" t="inlineStr">
        <is>
          <t>МИН</t>
        </is>
      </c>
      <c r="G244" s="1" t="inlineStr">
        <is>
          <t>грузчики почасово («100 грузчиков»)</t>
        </is>
      </c>
      <c r="H244" s="43" t="n">
        <v>5100</v>
      </c>
      <c r="I244" s="43" t="n">
        <v>8000</v>
      </c>
      <c r="J244" s="48" t="n">
        <v>-36.2</v>
      </c>
      <c r="K244" s="1" t="inlineStr">
        <is>
          <t>100 грузчиков Саратов</t>
        </is>
      </c>
      <c r="L244" s="1" t="inlineStr">
        <is>
          <t>Саратов</t>
        </is>
      </c>
      <c r="M244" s="45" t="inlineStr">
        <is>
          <t>https://saratov.100gryzchikov.ru/</t>
        </is>
      </c>
      <c r="N244" s="1" t="inlineStr">
        <is>
          <t>страница</t>
        </is>
      </c>
      <c r="O244" s="1" t="inlineStr">
        <is>
          <t>2026-09-11</t>
        </is>
      </c>
      <c r="P244" s="46" t="inlineStr">
        <is>
          <t>ок</t>
        </is>
      </c>
      <c r="Q244" s="1" t="inlineStr">
        <is>
          <t>Грузчики от 500 ₽/час × 2 чел × 4 ч = 4 000 + вывоз мусора от 550 ₽/час × 2 ч = 1 100 → 5 100 ₽ (допущение по часам)</t>
        </is>
      </c>
    </row>
    <row r="245">
      <c r="A245" s="1" t="inlineStr">
        <is>
          <t>1_Ремонт</t>
        </is>
      </c>
      <c r="B245" s="1" t="n">
        <v>60</v>
      </c>
      <c r="C245" s="1" t="inlineStr">
        <is>
          <t>7. Работы</t>
        </is>
      </c>
      <c r="D245" s="1" t="inlineStr">
        <is>
          <t>Доставка, подъём, вынос мусора</t>
        </is>
      </c>
      <c r="E245" s="1" t="inlineStr">
        <is>
          <t>компл</t>
        </is>
      </c>
      <c r="F245" s="1" t="inlineStr">
        <is>
          <t>СРЕД</t>
        </is>
      </c>
      <c r="G245" s="1" t="inlineStr">
        <is>
          <t>фирма-дискаунтер (Корона-ремонт), только вывоз</t>
        </is>
      </c>
      <c r="H245" s="43" t="n">
        <v>5680</v>
      </c>
      <c r="I245" s="43" t="n">
        <v>15000</v>
      </c>
      <c r="J245" s="48" t="n">
        <v>-62.1</v>
      </c>
      <c r="K245" s="1" t="inlineStr">
        <is>
          <t>Корона-ремонт Саратов</t>
        </is>
      </c>
      <c r="L245" s="1" t="inlineStr">
        <is>
          <t>Саратов</t>
        </is>
      </c>
      <c r="M245" s="45" t="inlineStr">
        <is>
          <t>https://saratov.korona-remont.ru/prices</t>
        </is>
      </c>
      <c r="N245" s="1" t="inlineStr">
        <is>
          <t>прайс-лист</t>
        </is>
      </c>
      <c r="O245" s="1" t="inlineStr">
        <is>
          <t>2026-09-11</t>
        </is>
      </c>
      <c r="P245" s="47" t="inlineStr">
        <is>
          <t>уточнить</t>
        </is>
      </c>
      <c r="Q245" s="1" t="inlineStr">
        <is>
          <t>«Вывоз мусора и его утилизация» 710 ₽/м³ × 8 м³ = 5 680 ₽; доставка и подъём материалов в прайсе нет</t>
        </is>
      </c>
    </row>
    <row r="246">
      <c r="A246" s="1" t="inlineStr">
        <is>
          <t>1_Ремонт</t>
        </is>
      </c>
      <c r="B246" s="1" t="n">
        <v>60</v>
      </c>
      <c r="C246" s="1" t="inlineStr">
        <is>
          <t>7. Работы</t>
        </is>
      </c>
      <c r="D246" s="1" t="inlineStr">
        <is>
          <t>Доставка, подъём, вынос мусора</t>
        </is>
      </c>
      <c r="E246" s="1" t="inlineStr">
        <is>
          <t>компл</t>
        </is>
      </c>
      <c r="F246" s="1" t="inlineStr">
        <is>
          <t>МАКС</t>
        </is>
      </c>
      <c r="G246" s="1" t="inlineStr">
        <is>
          <t>бригада с договором (Гарант.Строй Комплекс), только вывоз</t>
        </is>
      </c>
      <c r="H246" s="43" t="n">
        <v>5080</v>
      </c>
      <c r="I246" s="43" t="n">
        <v>25000</v>
      </c>
      <c r="J246" s="48" t="n">
        <v>-79.7</v>
      </c>
      <c r="K246" s="1" t="inlineStr">
        <is>
          <t>Гарант.Строй Комплекс</t>
        </is>
      </c>
      <c r="L246" s="1" t="inlineStr">
        <is>
          <t>Саратов</t>
        </is>
      </c>
      <c r="M246" s="45" t="inlineStr">
        <is>
          <t>https://saratov.garantstroikompleks.ru/prajs-list</t>
        </is>
      </c>
      <c r="N246" s="1" t="inlineStr">
        <is>
          <t>прайс-лист</t>
        </is>
      </c>
      <c r="O246" s="1" t="inlineStr">
        <is>
          <t>2026-09-11</t>
        </is>
      </c>
      <c r="P246" s="47" t="inlineStr">
        <is>
          <t>уточнить</t>
        </is>
      </c>
      <c r="Q246" s="1" t="inlineStr">
        <is>
          <t>«Вывоз мусора (с учётом стоимости ГАЗели)» от 2 540 ₽/машина × 2 = 5 080 ₽; подъём/доставка не тарифицированы</t>
        </is>
      </c>
    </row>
    <row r="247">
      <c r="A247" s="1" t="inlineStr">
        <is>
          <t>1_Ремонт</t>
        </is>
      </c>
      <c r="B247" s="1" t="n">
        <v>60</v>
      </c>
      <c r="C247" s="1" t="inlineStr">
        <is>
          <t>7. Работы</t>
        </is>
      </c>
      <c r="D247" s="1" t="inlineStr">
        <is>
          <t>Доставка, подъём, вынос мусора</t>
        </is>
      </c>
      <c r="E247" s="1" t="inlineStr">
        <is>
          <t>компл</t>
        </is>
      </c>
      <c r="F247" s="1" t="inlineStr">
        <is>
          <t>ВСЕ</t>
        </is>
      </c>
      <c r="G247" s="1" t="inlineStr">
        <is>
          <t>Авито Саратов — поиск «Доставка, подъём, вынос мусора» (услуги мастеров)</t>
        </is>
      </c>
      <c r="H247" s="43" t="n"/>
      <c r="I247" s="43" t="n"/>
      <c r="J247" s="44" t="n"/>
      <c r="K247" s="1" t="inlineStr">
        <is>
          <t>Авито Саратов</t>
        </is>
      </c>
      <c r="L247" s="1" t="inlineStr">
        <is>
          <t>Саратов</t>
        </is>
      </c>
      <c r="M247" s="45" t="inlineStr">
        <is>
          <t>https://www.avito.ru/saratov/predlozheniya_uslug?q=%D0%94%D0%BE%D1%81%D1%82%D0%B0%D0%B2%D0%BA%D0%B0%2C%20%D0%BF%D0%BE%D0%B4%D1%8A%D1%91%D0%BC%2C%20%D0%B2%D1%8B%D0%BD%D0%BE%D1%81%20%D0%BC%D1%83%D1%81%D0%BE%D1%80%D0%B0%20%D0%A1%D0%B0%D1%80%D0%B0%D1%82%D0%BE%D0%B2</t>
        </is>
      </c>
      <c r="N247" s="1" t="inlineStr">
        <is>
          <t>не проверено</t>
        </is>
      </c>
      <c r="O247" s="1" t="inlineStr">
        <is>
          <t>2026-09-11</t>
        </is>
      </c>
      <c r="P247" s="47" t="inlineStr">
        <is>
          <t>уточнить</t>
        </is>
      </c>
      <c r="Q24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48">
      <c r="A248" s="1" t="inlineStr">
        <is>
          <t>2_Заезд</t>
        </is>
      </c>
      <c r="B248" s="1" t="n">
        <v>1</v>
      </c>
      <c r="C248" s="1" t="inlineStr">
        <is>
          <t>Кухня</t>
        </is>
      </c>
      <c r="D248" s="1" t="inlineStr">
        <is>
          <t>Кухонный гарнитур</t>
        </is>
      </c>
      <c r="E248" s="1" t="inlineStr">
        <is>
          <t>компл</t>
        </is>
      </c>
      <c r="F248" s="1" t="inlineStr">
        <is>
          <t>МИН</t>
        </is>
      </c>
      <c r="G248" s="1" t="inlineStr">
        <is>
          <t>Hoff «Амика» 2,41×1,51 м угловой модульный, серый камень/трюфель</t>
        </is>
      </c>
      <c r="H248" s="43" t="n">
        <v>39092</v>
      </c>
      <c r="I248" s="43" t="n">
        <v>70000</v>
      </c>
      <c r="J248" s="48" t="n">
        <v>-44.2</v>
      </c>
      <c r="K248" s="1" t="inlineStr">
        <is>
          <t>Hoff (Саратов, Happy Молл)</t>
        </is>
      </c>
      <c r="L248" s="1" t="inlineStr">
        <is>
          <t>Саратов</t>
        </is>
      </c>
      <c r="M248" s="45" t="inlineStr">
        <is>
          <t>https://hoff.ru/catalog/kuhnya/kuhonnye_garnitury/gotovie_reshenia/modulnie/amika_seri_kamen_trufel/amika_2_41kh1_51_m_seryy_kamen_tryufel_korichnevyy_modulnyy_kukhonnyy_garnitur_id4420656/</t>
        </is>
      </c>
      <c r="N248" s="1" t="inlineStr">
        <is>
          <t>сниппет</t>
        </is>
      </c>
      <c r="O248" s="1" t="inlineStr">
        <is>
          <t>2026-09-11</t>
        </is>
      </c>
      <c r="P248" s="46" t="inlineStr">
        <is>
          <t>ок</t>
        </is>
      </c>
      <c r="Q248" s="1" t="inlineStr">
        <is>
          <t>Типовой угол 2,41×1,51; под 2,9+2,4 м и верх до потолка нужны доп. модули (+30–60%). Альт.: «Барселона» 3,6 м 32 137 ₽, 2,6 м 30 167 ₽ (сниппет hoff.ru). Сайт hoff.ru блокирует WebFetch (401).</t>
        </is>
      </c>
    </row>
    <row r="249">
      <c r="A249" s="1" t="inlineStr">
        <is>
          <t>2_Заезд</t>
        </is>
      </c>
      <c r="B249" s="1" t="n">
        <v>1</v>
      </c>
      <c r="C249" s="1" t="inlineStr">
        <is>
          <t>Кухня</t>
        </is>
      </c>
      <c r="D249" s="1" t="inlineStr">
        <is>
          <t>Кухонный гарнитур</t>
        </is>
      </c>
      <c r="E249" s="1" t="inlineStr">
        <is>
          <t>компл</t>
        </is>
      </c>
      <c r="F249" s="1" t="inlineStr">
        <is>
          <t>СРЕД</t>
        </is>
      </c>
      <c r="G249" s="1" t="inlineStr">
        <is>
          <t>Hoff кухни на заказ (планируемые: Lino / Spot / Cosima), ЛДСП+МДФ</t>
        </is>
      </c>
      <c r="H249" s="43" t="n"/>
      <c r="I249" s="43" t="n">
        <v>150000</v>
      </c>
      <c r="J249" s="44" t="n"/>
      <c r="K249" s="1" t="inlineStr">
        <is>
          <t>Hoff студия планирования (Happy Молл, Вольский тракт 2)</t>
        </is>
      </c>
      <c r="L249" s="1" t="inlineStr">
        <is>
          <t>Саратов</t>
        </is>
      </c>
      <c r="M249" s="45" t="inlineStr">
        <is>
          <t>https://hoff.ru/catalog/kuhnya/kuhonnye_garnitury/planiruemie/?sort=price_asc</t>
        </is>
      </c>
      <c r="N249" s="1" t="inlineStr">
        <is>
          <t>не проверено</t>
        </is>
      </c>
      <c r="O249" s="1" t="inlineStr">
        <is>
          <t>2026-09-11</t>
        </is>
      </c>
      <c r="P249" s="47" t="inlineStr">
        <is>
          <t>уточнить</t>
        </is>
      </c>
      <c r="Q249" s="1" t="inlineStr">
        <is>
          <t>Цена только по проекту в студии; в выдаче нет цены за п.м. Альт.: Лемана ПРО на заказ с онлайн-калькулятором https://saratov.lemanapro.ru/proekt-kuhni/na-zakaz/ (цены не видны, сайт 401).</t>
        </is>
      </c>
    </row>
    <row r="250">
      <c r="A250" s="1" t="inlineStr">
        <is>
          <t>2_Заезд</t>
        </is>
      </c>
      <c r="B250" s="1" t="n">
        <v>1</v>
      </c>
      <c r="C250" s="1" t="inlineStr">
        <is>
          <t>Кухня</t>
        </is>
      </c>
      <c r="D250" s="1" t="inlineStr">
        <is>
          <t>Кухонный гарнитур</t>
        </is>
      </c>
      <c r="E250" s="1" t="inlineStr">
        <is>
          <t>компл</t>
        </is>
      </c>
      <c r="F250" s="1" t="inlineStr">
        <is>
          <t>МАКС</t>
        </is>
      </c>
      <c r="G250" s="1" t="inlineStr">
        <is>
          <t>Фабрика «Мария» — «Токио» 2,4 м прямая, базовая компоновка «от»</t>
        </is>
      </c>
      <c r="H250" s="43" t="n">
        <v>251477</v>
      </c>
      <c r="I250" s="43" t="n">
        <v>450000</v>
      </c>
      <c r="J250" s="48" t="n">
        <v>-44.1</v>
      </c>
      <c r="K250" s="1" t="inlineStr">
        <is>
          <t>Мария (marya.ru, фабрика в Саратове)</t>
        </is>
      </c>
      <c r="L250" s="1" t="inlineStr">
        <is>
          <t>Саратов</t>
        </is>
      </c>
      <c r="M250" s="45" t="inlineStr">
        <is>
          <t>https://www.marya.ru/price/</t>
        </is>
      </c>
      <c r="N250" s="1" t="inlineStr">
        <is>
          <t>страница</t>
        </is>
      </c>
      <c r="O250" s="1" t="inlineStr">
        <is>
          <t>2026-09-11</t>
        </is>
      </c>
      <c r="P250" s="47" t="inlineStr">
        <is>
          <t>уточнить</t>
        </is>
      </c>
      <c r="Q250" s="1" t="inlineStr">
        <is>
          <t>Цена «от» за прямую 2,4 м; наша Г-образная 5,3 п.м. до потолка — итог по замеру, ориентир ×1,8–2,2 (≈450–550 тыс.). Другие модели «от»: Микс 22 глянец 256 885, Соле 2,4 м 274 537, Урбано 2,4 м 308 771, Джаз 431 603, Камелия 508 000.</t>
        </is>
      </c>
    </row>
    <row r="251">
      <c r="A251" s="1" t="inlineStr">
        <is>
          <t>2_Заезд</t>
        </is>
      </c>
      <c r="B251" s="1" t="n">
        <v>1</v>
      </c>
      <c r="C251" s="1" t="inlineStr">
        <is>
          <t>Кухня</t>
        </is>
      </c>
      <c r="D251" s="1" t="inlineStr">
        <is>
          <t>Кухонный гарнитур</t>
        </is>
      </c>
      <c r="E251" s="1" t="inlineStr">
        <is>
          <t>компл</t>
        </is>
      </c>
      <c r="F251" s="1" t="inlineStr">
        <is>
          <t>ВСЕ</t>
        </is>
      </c>
      <c r="G251" s="1" t="inlineStr">
        <is>
          <t>Авито Саратов — поиск «Кухонный гарнитур» (новые товары магазинов и объявления)</t>
        </is>
      </c>
      <c r="H251" s="43" t="n"/>
      <c r="I251" s="43" t="n"/>
      <c r="J251" s="44" t="n"/>
      <c r="K251" s="1" t="inlineStr">
        <is>
          <t>Авито Саратов</t>
        </is>
      </c>
      <c r="L251" s="1" t="inlineStr">
        <is>
          <t>Саратов</t>
        </is>
      </c>
      <c r="M251" s="45" t="inlineStr">
        <is>
          <t>https://www.avito.ru/saratov?q=%D0%9A%D1%83%D1%85%D0%BE%D0%BD%D0%BD%D1%8B%D0%B9%20%D0%B3%D0%B0%D1%80%D0%BD%D0%B8%D1%82%D1%83%D1%80</t>
        </is>
      </c>
      <c r="N251" s="1" t="inlineStr">
        <is>
          <t>не проверено</t>
        </is>
      </c>
      <c r="O251" s="1" t="inlineStr">
        <is>
          <t>2026-09-11</t>
        </is>
      </c>
      <c r="P251" s="47" t="inlineStr">
        <is>
          <t>уточнить</t>
        </is>
      </c>
      <c r="Q25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52">
      <c r="A252" s="1" t="inlineStr">
        <is>
          <t>2_Заезд</t>
        </is>
      </c>
      <c r="B252" s="1" t="n">
        <v>2</v>
      </c>
      <c r="C252" s="1" t="inlineStr">
        <is>
          <t>Кухня</t>
        </is>
      </c>
      <c r="D252" s="1" t="inlineStr">
        <is>
          <t>Столешница</t>
        </is>
      </c>
      <c r="E252" s="1" t="inlineStr">
        <is>
          <t>компл</t>
        </is>
      </c>
      <c r="F252" s="1" t="inlineStr">
        <is>
          <t>МИН</t>
        </is>
      </c>
      <c r="G252" s="1" t="inlineStr">
        <is>
          <t>Лемана ПРО столешница «Маренго» ЛДСП 300×3,8×60 см, белый (арт. 82113217) ×2 шт</t>
        </is>
      </c>
      <c r="H252" s="43" t="n">
        <v>4728</v>
      </c>
      <c r="I252" s="43" t="n">
        <v>8000</v>
      </c>
      <c r="J252" s="48" t="n">
        <v>-40.9</v>
      </c>
      <c r="K252" s="1" t="inlineStr">
        <is>
          <t>Лемана ПРО</t>
        </is>
      </c>
      <c r="L252" s="1" t="inlineStr">
        <is>
          <t>доставка в Саратов</t>
        </is>
      </c>
      <c r="M252" s="45" t="inlineStr">
        <is>
          <t>https://lemanapro.ru/product/stoleshnica-marengo-300x38x60-sm-ldsp-cvet-belyy-82113217/</t>
        </is>
      </c>
      <c r="N252" s="1" t="inlineStr">
        <is>
          <t>сниппет</t>
        </is>
      </c>
      <c r="O252" s="1" t="inlineStr">
        <is>
          <t>2026-09-11</t>
        </is>
      </c>
      <c r="P252" s="46" t="inlineStr">
        <is>
          <t>ок</t>
        </is>
      </c>
      <c r="Q252" s="1" t="inlineStr">
        <is>
          <t>2 364 ₽/шт × 2 (Г 2,9+2,4 м). В сети 38 мм дешевле, чем 28 мм из сметы. Цена московская, саратовскую сайт не отдаёт (401).</t>
        </is>
      </c>
    </row>
    <row r="253">
      <c r="A253" s="1" t="inlineStr">
        <is>
          <t>2_Заезд</t>
        </is>
      </c>
      <c r="B253" s="1" t="n">
        <v>2</v>
      </c>
      <c r="C253" s="1" t="inlineStr">
        <is>
          <t>Кухня</t>
        </is>
      </c>
      <c r="D253" s="1" t="inlineStr">
        <is>
          <t>Столешница</t>
        </is>
      </c>
      <c r="E253" s="1" t="inlineStr">
        <is>
          <t>компл</t>
        </is>
      </c>
      <c r="F253" s="1" t="inlineStr">
        <is>
          <t>СРЕД</t>
        </is>
      </c>
      <c r="G253" s="1" t="inlineStr">
        <is>
          <t>Лемана ПРО Delinia «Самдал» ДБСП 300×3,8×60 см (арт. 85682905) ×2 шт</t>
        </is>
      </c>
      <c r="H253" s="43" t="n">
        <v>17020</v>
      </c>
      <c r="I253" s="43" t="n">
        <v>20000</v>
      </c>
      <c r="J253" s="44" t="n">
        <v>-14.9</v>
      </c>
      <c r="K253" s="1" t="inlineStr">
        <is>
          <t>Лемана ПРО</t>
        </is>
      </c>
      <c r="L253" s="1" t="inlineStr">
        <is>
          <t>доставка в Саратов</t>
        </is>
      </c>
      <c r="M253" s="45" t="inlineStr">
        <is>
          <t>https://lemanapro.ru/product/stoleshnica-delinia-seriya-samdal-300x38x60-sm-dbsp-dsp-cvet-korichnevyy-85682905/</t>
        </is>
      </c>
      <c r="N253" s="1" t="inlineStr">
        <is>
          <t>сниппет</t>
        </is>
      </c>
      <c r="O253" s="1" t="inlineStr">
        <is>
          <t>2026-09-11</t>
        </is>
      </c>
      <c r="P253" s="46" t="inlineStr">
        <is>
          <t>ок</t>
        </is>
      </c>
      <c r="Q253" s="1" t="inlineStr">
        <is>
          <t>8 510 ₽/шт × 2. Компакт-плита HPL 12 мм в Лемана только малые форматы (140×85 — 23 300 ₽), 300 см не найдено.</t>
        </is>
      </c>
    </row>
    <row r="254">
      <c r="A254" s="1" t="inlineStr">
        <is>
          <t>2_Заезд</t>
        </is>
      </c>
      <c r="B254" s="1" t="n">
        <v>2</v>
      </c>
      <c r="C254" s="1" t="inlineStr">
        <is>
          <t>Кухня</t>
        </is>
      </c>
      <c r="D254" s="1" t="inlineStr">
        <is>
          <t>Столешница</t>
        </is>
      </c>
      <c r="E254" s="1" t="inlineStr">
        <is>
          <t>компл</t>
        </is>
      </c>
      <c r="F254" s="1" t="inlineStr">
        <is>
          <t>МАКС</t>
        </is>
      </c>
      <c r="G254" s="1" t="inlineStr">
        <is>
          <t>Кварцевый агломерат, ~5,3 п.м., «от» 10 500 ₽/п.м. (StoneStone) / 13 420 ₽/м² (Etna Quartz)</t>
        </is>
      </c>
      <c r="H254" s="43" t="n">
        <v>55650</v>
      </c>
      <c r="I254" s="43" t="n">
        <v>90000</v>
      </c>
      <c r="J254" s="48" t="n">
        <v>-38.2</v>
      </c>
      <c r="K254" s="1" t="inlineStr">
        <is>
          <t>StoneStone / Etna Quartz (Москва, камнеобработчики)</t>
        </is>
      </c>
      <c r="L254" s="1" t="inlineStr">
        <is>
          <t>доставка в Саратов</t>
        </is>
      </c>
      <c r="M254" s="45" t="inlineStr">
        <is>
          <t>https://www.stonestone.ru/stoleshnitsy-iz-iskusstvennogo-kamnya/iz-kvarcza/</t>
        </is>
      </c>
      <c r="N254" s="1" t="inlineStr">
        <is>
          <t>сниппет</t>
        </is>
      </c>
      <c r="O254" s="1" t="inlineStr">
        <is>
          <t>2026-09-11</t>
        </is>
      </c>
      <c r="P254" s="47" t="inlineStr">
        <is>
          <t>уточнить</t>
        </is>
      </c>
      <c r="Q254" s="1" t="inlineStr">
        <is>
          <t>Расчёт 10 500 × 5,3 п.м., без монтажа/вырезов. Саратовских цен в выдаче нет — запросить у местных камнеобработчиков (2ГИС).</t>
        </is>
      </c>
    </row>
    <row r="255">
      <c r="A255" s="1" t="inlineStr">
        <is>
          <t>2_Заезд</t>
        </is>
      </c>
      <c r="B255" s="1" t="n">
        <v>2</v>
      </c>
      <c r="C255" s="1" t="inlineStr">
        <is>
          <t>Кухня</t>
        </is>
      </c>
      <c r="D255" s="1" t="inlineStr">
        <is>
          <t>Столешница</t>
        </is>
      </c>
      <c r="E255" s="1" t="inlineStr">
        <is>
          <t>компл</t>
        </is>
      </c>
      <c r="F255" s="1" t="inlineStr">
        <is>
          <t>ВСЕ</t>
        </is>
      </c>
      <c r="G255" s="1" t="inlineStr">
        <is>
          <t>Авито Саратов — поиск «Столешница» (новые товары магазинов и объявления)</t>
        </is>
      </c>
      <c r="H255" s="43" t="n"/>
      <c r="I255" s="43" t="n"/>
      <c r="J255" s="44" t="n"/>
      <c r="K255" s="1" t="inlineStr">
        <is>
          <t>Авито Саратов</t>
        </is>
      </c>
      <c r="L255" s="1" t="inlineStr">
        <is>
          <t>Саратов</t>
        </is>
      </c>
      <c r="M255" s="45" t="inlineStr">
        <is>
          <t>https://www.avito.ru/saratov?q=%D0%A1%D1%82%D0%BE%D0%BB%D0%B5%D1%88%D0%BD%D0%B8%D1%86%D0%B0</t>
        </is>
      </c>
      <c r="N255" s="1" t="inlineStr">
        <is>
          <t>не проверено</t>
        </is>
      </c>
      <c r="O255" s="1" t="inlineStr">
        <is>
          <t>2026-09-11</t>
        </is>
      </c>
      <c r="P255" s="47" t="inlineStr">
        <is>
          <t>уточнить</t>
        </is>
      </c>
      <c r="Q25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56">
      <c r="A256" s="1" t="inlineStr">
        <is>
          <t>2_Заезд</t>
        </is>
      </c>
      <c r="B256" s="1" t="n">
        <v>3</v>
      </c>
      <c r="C256" s="1" t="inlineStr">
        <is>
          <t>Кухня</t>
        </is>
      </c>
      <c r="D256" s="1" t="inlineStr">
        <is>
          <t>Фартук (плитка / стекло / компакт)</t>
        </is>
      </c>
      <c r="E256" s="1" t="inlineStr">
        <is>
          <t>компл</t>
        </is>
      </c>
      <c r="F256" s="1" t="inlineStr">
        <is>
          <t>МИН</t>
        </is>
      </c>
      <c r="G256" s="1" t="inlineStr">
        <is>
          <t>Лемана ПРО стеновая панель МДФ для кухни 300×60 см</t>
        </is>
      </c>
      <c r="H256" s="43" t="n"/>
      <c r="I256" s="43" t="n">
        <v>5000</v>
      </c>
      <c r="J256" s="44" t="n"/>
      <c r="K256" s="1" t="inlineStr">
        <is>
          <t>Лемана ПРО Саратов</t>
        </is>
      </c>
      <c r="L256" s="1" t="inlineStr">
        <is>
          <t>Саратов</t>
        </is>
      </c>
      <c r="M256" s="45" t="inlineStr">
        <is>
          <t>https://saratov.lemanapro.ru/catalogue/stenovye-paneli-dlya-kuhni/</t>
        </is>
      </c>
      <c r="N256" s="1" t="inlineStr">
        <is>
          <t>не проверено</t>
        </is>
      </c>
      <c r="O256" s="1" t="inlineStr">
        <is>
          <t>2026-09-11</t>
        </is>
      </c>
      <c r="P256" s="47" t="inlineStr">
        <is>
          <t>уточнить</t>
        </is>
      </c>
      <c r="Q256" s="1" t="inlineStr">
        <is>
          <t>В сниппете только «от 195 ₽» без размера — не принимаю как цену. Сайт 401.</t>
        </is>
      </c>
    </row>
    <row r="257">
      <c r="A257" s="1" t="inlineStr">
        <is>
          <t>2_Заезд</t>
        </is>
      </c>
      <c r="B257" s="1" t="n">
        <v>3</v>
      </c>
      <c r="C257" s="1" t="inlineStr">
        <is>
          <t>Кухня</t>
        </is>
      </c>
      <c r="D257" s="1" t="inlineStr">
        <is>
          <t>Фартук (плитка / стекло / компакт)</t>
        </is>
      </c>
      <c r="E257" s="1" t="inlineStr">
        <is>
          <t>компл</t>
        </is>
      </c>
      <c r="F257" s="1" t="inlineStr">
        <is>
          <t>СРЕД</t>
        </is>
      </c>
      <c r="G257" s="1" t="inlineStr">
        <is>
          <t>Плитка кабанчик 10×20 белая, ~3,5 м² × «от» 1 136 ₽/м²</t>
        </is>
      </c>
      <c r="H257" s="43" t="n">
        <v>3976</v>
      </c>
      <c r="I257" s="43" t="n">
        <v>15000</v>
      </c>
      <c r="J257" s="48" t="n">
        <v>-73.5</v>
      </c>
      <c r="K257" s="1" t="inlineStr">
        <is>
          <t>BestCeramic (Москва) / Лемана ПРО</t>
        </is>
      </c>
      <c r="L257" s="1" t="inlineStr">
        <is>
          <t>доставка в Саратов</t>
        </is>
      </c>
      <c r="M257" s="45" t="inlineStr">
        <is>
          <t>https://www.bestceramic.ru/catalog/plitka/kabanchik-10x20</t>
        </is>
      </c>
      <c r="N257" s="1" t="inlineStr">
        <is>
          <t>сниппет</t>
        </is>
      </c>
      <c r="O257" s="1" t="inlineStr">
        <is>
          <t>2026-09-11</t>
        </is>
      </c>
      <c r="P257" s="47" t="inlineStr">
        <is>
          <t>уточнить</t>
        </is>
      </c>
      <c r="Q257" s="1" t="inlineStr">
        <is>
          <t>Расчёт по нижней цене плитки, без клея/затирки/работы; смета 15 000 явно включает работу. Лемана: https://saratov.lemanapro.ru/catalogue/keramicheskaya-plitka/kabanchik/ (цены не видны).</t>
        </is>
      </c>
    </row>
    <row r="258">
      <c r="A258" s="1" t="inlineStr">
        <is>
          <t>2_Заезд</t>
        </is>
      </c>
      <c r="B258" s="1" t="n">
        <v>3</v>
      </c>
      <c r="C258" s="1" t="inlineStr">
        <is>
          <t>Кухня</t>
        </is>
      </c>
      <c r="D258" s="1" t="inlineStr">
        <is>
          <t>Фартук (плитка / стекло / компакт)</t>
        </is>
      </c>
      <c r="E258" s="1" t="inlineStr">
        <is>
          <t>компл</t>
        </is>
      </c>
      <c r="F258" s="1" t="inlineStr">
        <is>
          <t>МАКС</t>
        </is>
      </c>
      <c r="G258" s="1" t="inlineStr">
        <is>
          <t>Скинали (закалённое стекло с печатью), ~3,2 м² × «от» 3 100 ₽/м²</t>
        </is>
      </c>
      <c r="H258" s="43" t="n">
        <v>9920</v>
      </c>
      <c r="I258" s="43" t="n">
        <v>35000</v>
      </c>
      <c r="J258" s="48" t="n">
        <v>-71.7</v>
      </c>
      <c r="K258" s="1" t="inlineStr">
        <is>
          <t>Стеклотрейд (Москва)</t>
        </is>
      </c>
      <c r="L258" s="1" t="inlineStr">
        <is>
          <t>доставка в Саратов</t>
        </is>
      </c>
      <c r="M258" s="45" t="inlineStr">
        <is>
          <t>https://steklotrade.com/kuxonnyj-fartuk-iz-stekla.html</t>
        </is>
      </c>
      <c r="N258" s="1" t="inlineStr">
        <is>
          <t>сниппет</t>
        </is>
      </c>
      <c r="O258" s="1" t="inlineStr">
        <is>
          <t>2026-09-11</t>
        </is>
      </c>
      <c r="P258" s="47" t="inlineStr">
        <is>
          <t>уточнить</t>
        </is>
      </c>
      <c r="Q258" s="1" t="inlineStr">
        <is>
          <t>Расчёт без монтажа/вырезов; в Саратове скинали — местные стекольные мастерские (2ГИС/Авито). Ozon: https://www.ozon.ru/category/skinali-steklyannye-fartuk-dlya-kuhni/</t>
        </is>
      </c>
    </row>
    <row r="259">
      <c r="A259" s="1" t="inlineStr">
        <is>
          <t>2_Заезд</t>
        </is>
      </c>
      <c r="B259" s="1" t="n">
        <v>3</v>
      </c>
      <c r="C259" s="1" t="inlineStr">
        <is>
          <t>Кухня</t>
        </is>
      </c>
      <c r="D259" s="1" t="inlineStr">
        <is>
          <t>Фартук (плитка / стекло / компакт)</t>
        </is>
      </c>
      <c r="E259" s="1" t="inlineStr">
        <is>
          <t>компл</t>
        </is>
      </c>
      <c r="F259" s="1" t="inlineStr">
        <is>
          <t>ВСЕ</t>
        </is>
      </c>
      <c r="G259" s="1" t="inlineStr">
        <is>
          <t>Авито Саратов — поиск «Фартук» (новые товары магазинов и объявления)</t>
        </is>
      </c>
      <c r="H259" s="43" t="n"/>
      <c r="I259" s="43" t="n"/>
      <c r="J259" s="44" t="n"/>
      <c r="K259" s="1" t="inlineStr">
        <is>
          <t>Авито Саратов</t>
        </is>
      </c>
      <c r="L259" s="1" t="inlineStr">
        <is>
          <t>Саратов</t>
        </is>
      </c>
      <c r="M259" s="45" t="inlineStr">
        <is>
          <t>https://www.avito.ru/saratov?q=%D0%A4%D0%B0%D1%80%D1%82%D1%83%D0%BA</t>
        </is>
      </c>
      <c r="N259" s="1" t="inlineStr">
        <is>
          <t>не проверено</t>
        </is>
      </c>
      <c r="O259" s="1" t="inlineStr">
        <is>
          <t>2026-09-11</t>
        </is>
      </c>
      <c r="P259" s="47" t="inlineStr">
        <is>
          <t>уточнить</t>
        </is>
      </c>
      <c r="Q25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60">
      <c r="A260" s="1" t="inlineStr">
        <is>
          <t>2_Заезд</t>
        </is>
      </c>
      <c r="B260" s="1" t="n">
        <v>4</v>
      </c>
      <c r="C260" s="1" t="inlineStr">
        <is>
          <t>Кухня</t>
        </is>
      </c>
      <c r="D260" s="1" t="inlineStr">
        <is>
          <t>Мойка + смеситель</t>
        </is>
      </c>
      <c r="E260" s="1" t="inlineStr">
        <is>
          <t>компл</t>
        </is>
      </c>
      <c r="F260" s="1" t="inlineStr">
        <is>
          <t>МИН</t>
        </is>
      </c>
      <c r="G260" s="1" t="inlineStr">
        <is>
          <t>Мойка «Владикс» накладная 60×50 нерж. 0,4 мм (1 010 ₽) + смеситель Iddis для кухни (от 5 590 ₽)</t>
        </is>
      </c>
      <c r="H260" s="43" t="n">
        <v>6600</v>
      </c>
      <c r="I260" s="43" t="n">
        <v>6000</v>
      </c>
      <c r="J260" s="44" t="n">
        <v>10</v>
      </c>
      <c r="K260" s="1" t="inlineStr">
        <is>
          <t>Sima-land / ВсеИнструменты</t>
        </is>
      </c>
      <c r="L260" s="1" t="inlineStr">
        <is>
          <t>доставка в Саратов</t>
        </is>
      </c>
      <c r="M260" s="45" t="inlineStr">
        <is>
          <t>https://www.sima-land.ru/3890637/moyka-kuhonnaya-vladiks-nakladnaya-bez-sifona-60-50-cm-levaya-nerzhaveyuschaya-stal-0-4-mm/</t>
        </is>
      </c>
      <c r="N260" s="1" t="inlineStr">
        <is>
          <t>сниппет</t>
        </is>
      </c>
      <c r="O260" s="1" t="inlineStr">
        <is>
          <t>2026-09-11</t>
        </is>
      </c>
      <c r="P260" s="46" t="inlineStr">
        <is>
          <t>ок</t>
        </is>
      </c>
      <c r="Q260" s="1" t="inlineStr">
        <is>
          <t>Сумма двух сниппетов. Лемана Саратов: https://saratov.lemanapro.ru/catalogue/kuhonnye-moyki/nakladnye/ (цены не видны, 401).</t>
        </is>
      </c>
    </row>
    <row r="261">
      <c r="A261" s="1" t="inlineStr">
        <is>
          <t>2_Заезд</t>
        </is>
      </c>
      <c r="B261" s="1" t="n">
        <v>4</v>
      </c>
      <c r="C261" s="1" t="inlineStr">
        <is>
          <t>Кухня</t>
        </is>
      </c>
      <c r="D261" s="1" t="inlineStr">
        <is>
          <t>Мойка + смеситель</t>
        </is>
      </c>
      <c r="E261" s="1" t="inlineStr">
        <is>
          <t>компл</t>
        </is>
      </c>
      <c r="F261" s="1" t="inlineStr">
        <is>
          <t>СРЕД</t>
        </is>
      </c>
      <c r="G261" s="1" t="inlineStr">
        <is>
          <t>Мойка гранитная врезная Лемана ПРО («от» 8 500 ₽) + смеситель Lemark Plus Advance LM1205C (4 620 ₽ фирм. магазин)</t>
        </is>
      </c>
      <c r="H261" s="43" t="n">
        <v>13120</v>
      </c>
      <c r="I261" s="43" t="n">
        <v>18000</v>
      </c>
      <c r="J261" s="44" t="n">
        <v>-27.1</v>
      </c>
      <c r="K261" s="1" t="inlineStr">
        <is>
          <t>Лемана ПРО / Lemark-shop</t>
        </is>
      </c>
      <c r="L261" s="1" t="inlineStr">
        <is>
          <t>доставка в Саратов</t>
        </is>
      </c>
      <c r="M261" s="45" t="inlineStr">
        <is>
          <t>https://saratov.lemanapro.ru/catalogue/kuhonnye-moyki/granitnye/</t>
        </is>
      </c>
      <c r="N261" s="1" t="inlineStr">
        <is>
          <t>сниппет</t>
        </is>
      </c>
      <c r="O261" s="1" t="inlineStr">
        <is>
          <t>2026-09-11</t>
        </is>
      </c>
      <c r="P261" s="47" t="inlineStr">
        <is>
          <t>уточнить</t>
        </is>
      </c>
      <c r="Q261" s="1" t="inlineStr">
        <is>
          <t>Мойка — нижняя граница каталога (сниппет Киров); LM1205C 4 620–5 800 ₽ по магазинам (lemark-shop.ru, san-design.ru 5 600).</t>
        </is>
      </c>
    </row>
    <row r="262">
      <c r="A262" s="1" t="inlineStr">
        <is>
          <t>2_Заезд</t>
        </is>
      </c>
      <c r="B262" s="1" t="n">
        <v>4</v>
      </c>
      <c r="C262" s="1" t="inlineStr">
        <is>
          <t>Кухня</t>
        </is>
      </c>
      <c r="D262" s="1" t="inlineStr">
        <is>
          <t>Мойка + смеситель</t>
        </is>
      </c>
      <c r="E262" s="1" t="inlineStr">
        <is>
          <t>компл</t>
        </is>
      </c>
      <c r="F262" s="1" t="inlineStr">
        <is>
          <t>МАКС</t>
        </is>
      </c>
      <c r="G262" s="1" t="inlineStr">
        <is>
          <t>Blanco Zia 45 S Silgranit (51 028 ₽, blanco-rus.ru) + Grohe Eurosmart 30463000 (14 141 ₽, Aquanet)</t>
        </is>
      </c>
      <c r="H262" s="43" t="n">
        <v>65169</v>
      </c>
      <c r="I262" s="43" t="n">
        <v>45000</v>
      </c>
      <c r="J262" s="48" t="n">
        <v>44.8</v>
      </c>
      <c r="K262" s="1" t="inlineStr">
        <is>
          <t>Blanco-rus / Aquanet</t>
        </is>
      </c>
      <c r="L262" s="1" t="inlineStr">
        <is>
          <t>доставка в Саратов</t>
        </is>
      </c>
      <c r="M262" s="45" t="inlineStr">
        <is>
          <t>https://blanco-rus.ru/products/moyka-blanco-zia-45s-526013</t>
        </is>
      </c>
      <c r="N262" s="1" t="inlineStr">
        <is>
          <t>сниппет</t>
        </is>
      </c>
      <c r="O262" s="1" t="inlineStr">
        <is>
          <t>2026-09-11</t>
        </is>
      </c>
      <c r="P262" s="46" t="inlineStr">
        <is>
          <t>ок</t>
        </is>
      </c>
      <c r="Q262" s="1" t="inlineStr">
        <is>
          <t>Zia 45 S по магазинам 38 938–58 090 ₽ (blanco.promo 38 938 → комплект ≈ 53 000). Смета 45 000 ниже официальной пары Blanco+Grohe.</t>
        </is>
      </c>
    </row>
    <row r="263">
      <c r="A263" s="1" t="inlineStr">
        <is>
          <t>2_Заезд</t>
        </is>
      </c>
      <c r="B263" s="1" t="n">
        <v>4</v>
      </c>
      <c r="C263" s="1" t="inlineStr">
        <is>
          <t>Кухня</t>
        </is>
      </c>
      <c r="D263" s="1" t="inlineStr">
        <is>
          <t>Мойка + смеситель</t>
        </is>
      </c>
      <c r="E263" s="1" t="inlineStr">
        <is>
          <t>компл</t>
        </is>
      </c>
      <c r="F263" s="1" t="inlineStr">
        <is>
          <t>ВСЕ</t>
        </is>
      </c>
      <c r="G263" s="1" t="inlineStr">
        <is>
          <t>Авито Саратов — поиск «Мойка + смеситель» (новые товары магазинов и объявления)</t>
        </is>
      </c>
      <c r="H263" s="43" t="n"/>
      <c r="I263" s="43" t="n"/>
      <c r="J263" s="44" t="n"/>
      <c r="K263" s="1" t="inlineStr">
        <is>
          <t>Авито Саратов</t>
        </is>
      </c>
      <c r="L263" s="1" t="inlineStr">
        <is>
          <t>Саратов</t>
        </is>
      </c>
      <c r="M263" s="45" t="inlineStr">
        <is>
          <t>https://www.avito.ru/saratov?q=%D0%9C%D0%BE%D0%B9%D0%BA%D0%B0%20%2B%20%D1%81%D0%BC%D0%B5%D1%81%D0%B8%D1%82%D0%B5%D0%BB%D1%8C</t>
        </is>
      </c>
      <c r="N263" s="1" t="inlineStr">
        <is>
          <t>не проверено</t>
        </is>
      </c>
      <c r="O263" s="1" t="inlineStr">
        <is>
          <t>2026-09-11</t>
        </is>
      </c>
      <c r="P263" s="47" t="inlineStr">
        <is>
          <t>уточнить</t>
        </is>
      </c>
      <c r="Q26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64">
      <c r="A264" s="1" t="inlineStr">
        <is>
          <t>2_Заезд</t>
        </is>
      </c>
      <c r="B264" s="1" t="n">
        <v>5</v>
      </c>
      <c r="C264" s="1" t="inlineStr">
        <is>
          <t>Кухня</t>
        </is>
      </c>
      <c r="D264" s="1" t="inlineStr">
        <is>
          <t>Варочная панель электрическая (индукция)</t>
        </is>
      </c>
      <c r="E264" s="1" t="inlineStr">
        <is>
          <t>шт</t>
        </is>
      </c>
      <c r="F264" s="1" t="inlineStr">
        <is>
          <t>МИН</t>
        </is>
      </c>
      <c r="G264" s="1" t="inlineStr">
        <is>
          <t>Weissgauff HI 640 BA, индукция 60 см, 4 конфорки, 7,2 кВт</t>
        </is>
      </c>
      <c r="H264" s="43" t="n">
        <v>9990</v>
      </c>
      <c r="I264" s="43" t="n">
        <v>12000</v>
      </c>
      <c r="J264" s="44" t="n">
        <v>-16.8</v>
      </c>
      <c r="K264" s="1" t="inlineStr">
        <is>
          <t>Weissgauff официальный магазин</t>
        </is>
      </c>
      <c r="L264" s="1" t="inlineStr">
        <is>
          <t>доставка в Саратов</t>
        </is>
      </c>
      <c r="M264" s="45" t="inlineStr">
        <is>
          <t>https://www.weissgauff.ru/catalog_69/indukcionnye_varochnye_paneli.html?page=all</t>
        </is>
      </c>
      <c r="N264" s="1" t="inlineStr">
        <is>
          <t>страница</t>
        </is>
      </c>
      <c r="O264" s="1" t="inlineStr">
        <is>
          <t>2026-09-11</t>
        </is>
      </c>
      <c r="P264" s="46" t="inlineStr">
        <is>
          <t>ок</t>
        </is>
      </c>
      <c r="Q264" s="1" t="inlineStr">
        <is>
          <t>Акция с 13 390 ₽. HI 642 BFZG (FLEX-зона) 15 990 ₽. DNS Саратов: https://www.dns-shop.ru/catalog/recipe/7360acd3112f6eaa/weissgauff/ (сайт 401).</t>
        </is>
      </c>
    </row>
    <row r="265">
      <c r="A265" s="1" t="inlineStr">
        <is>
          <t>2_Заезд</t>
        </is>
      </c>
      <c r="B265" s="1" t="n">
        <v>5</v>
      </c>
      <c r="C265" s="1" t="inlineStr">
        <is>
          <t>Кухня</t>
        </is>
      </c>
      <c r="D265" s="1" t="inlineStr">
        <is>
          <t>Варочная панель электрическая (индукция)</t>
        </is>
      </c>
      <c r="E265" s="1" t="inlineStr">
        <is>
          <t>шт</t>
        </is>
      </c>
      <c r="F265" s="1" t="inlineStr">
        <is>
          <t>СРЕД</t>
        </is>
      </c>
      <c r="G265" s="1" t="inlineStr">
        <is>
          <t>Bosch Serie 4 PUE611BB5E, индукция 60 см, TouchSelect</t>
        </is>
      </c>
      <c r="H265" s="43" t="n">
        <v>41360</v>
      </c>
      <c r="I265" s="43" t="n">
        <v>30000</v>
      </c>
      <c r="J265" s="48" t="n">
        <v>37.9</v>
      </c>
      <c r="K265" s="1" t="inlineStr">
        <is>
          <t>Ситилинк</t>
        </is>
      </c>
      <c r="L265" s="1" t="inlineStr">
        <is>
          <t>Саратов</t>
        </is>
      </c>
      <c r="M265" s="45" t="inlineStr">
        <is>
          <t>https://www.citilink.ru/product/indukcionnaya-varochnaya-panel-bosch-serie-4-pue611bb5e-nezavisimaya-c-1854352/</t>
        </is>
      </c>
      <c r="N265" s="1" t="inlineStr">
        <is>
          <t>страница</t>
        </is>
      </c>
      <c r="O265" s="1" t="inlineStr">
        <is>
          <t>2026-09-11</t>
        </is>
      </c>
      <c r="P265" s="46" t="inlineStr">
        <is>
          <t>ок</t>
        </is>
      </c>
      <c r="Q265" s="1" t="inlineStr">
        <is>
          <t>Цена карточки без выбора города (проверить в Саратове). Bosch-centre.ru 35 290 ₽ (сниппет). DNS: https://www.dns-shop.ru/product/d1655e362bdf2ff2/indukcionnaa-varocnaa-poverhnost-bosch-serie-4-pue611bb5e/</t>
        </is>
      </c>
    </row>
    <row r="266">
      <c r="A266" s="1" t="inlineStr">
        <is>
          <t>2_Заезд</t>
        </is>
      </c>
      <c r="B266" s="1" t="n">
        <v>5</v>
      </c>
      <c r="C266" s="1" t="inlineStr">
        <is>
          <t>Кухня</t>
        </is>
      </c>
      <c r="D266" s="1" t="inlineStr">
        <is>
          <t>Варочная панель электрическая (индукция)</t>
        </is>
      </c>
      <c r="E266" s="1" t="inlineStr">
        <is>
          <t>шт</t>
        </is>
      </c>
      <c r="F266" s="1" t="inlineStr">
        <is>
          <t>МАКС</t>
        </is>
      </c>
      <c r="G266" s="1" t="inlineStr">
        <is>
          <t>Bosch Serie 8 PXE651FC1E, индукция 60 см, FlexInduction, PerfectFry</t>
        </is>
      </c>
      <c r="H266" s="43" t="n">
        <v>126000</v>
      </c>
      <c r="I266" s="43" t="n">
        <v>70000</v>
      </c>
      <c r="J266" s="48" t="n">
        <v>80</v>
      </c>
      <c r="K266" s="1" t="inlineStr">
        <is>
          <t>Hausdorf (офиц. дилер)</t>
        </is>
      </c>
      <c r="L266" s="1" t="inlineStr">
        <is>
          <t>доставка в Саратов</t>
        </is>
      </c>
      <c r="M266" s="45" t="inlineStr">
        <is>
          <t>https://www.hausdorf.ru/catalog/varochnye-paneli/bosch/induktsionnaya-varochnaya-panel-bosch-pxe651fc1e.html</t>
        </is>
      </c>
      <c r="N266" s="1" t="inlineStr">
        <is>
          <t>сниппет</t>
        </is>
      </c>
      <c r="O266" s="1" t="inlineStr">
        <is>
          <t>2026-09-11</t>
        </is>
      </c>
      <c r="P266" s="46" t="inlineStr">
        <is>
          <t>ок</t>
        </is>
      </c>
      <c r="Q266" s="1" t="inlineStr">
        <is>
          <t>High-level.ru 114 900 ₽ (сниппет). Смета 70 000 ближе к Bosch Serie 6 / Miele KM 7201 FR (цена не найдена).</t>
        </is>
      </c>
    </row>
    <row r="267">
      <c r="A267" s="1" t="inlineStr">
        <is>
          <t>2_Заезд</t>
        </is>
      </c>
      <c r="B267" s="1" t="n">
        <v>5</v>
      </c>
      <c r="C267" s="1" t="inlineStr">
        <is>
          <t>Кухня</t>
        </is>
      </c>
      <c r="D267" s="1" t="inlineStr">
        <is>
          <t>Варочная панель электрическая (индукция)</t>
        </is>
      </c>
      <c r="E267" s="1" t="inlineStr">
        <is>
          <t>шт</t>
        </is>
      </c>
      <c r="F267" s="1" t="inlineStr">
        <is>
          <t>ВСЕ</t>
        </is>
      </c>
      <c r="G267" s="1" t="inlineStr">
        <is>
          <t>Авито Саратов — поиск «Варочная панель электрическая» (новые товары магазинов и объявления)</t>
        </is>
      </c>
      <c r="H267" s="43" t="n"/>
      <c r="I267" s="43" t="n"/>
      <c r="J267" s="44" t="n"/>
      <c r="K267" s="1" t="inlineStr">
        <is>
          <t>Авито Саратов</t>
        </is>
      </c>
      <c r="L267" s="1" t="inlineStr">
        <is>
          <t>Саратов</t>
        </is>
      </c>
      <c r="M267" s="45" t="inlineStr">
        <is>
          <t>https://www.avito.ru/saratov?q=%D0%92%D0%B0%D1%80%D0%BE%D1%87%D0%BD%D0%B0%D1%8F%20%D0%BF%D0%B0%D0%BD%D0%B5%D0%BB%D1%8C%20%D1%8D%D0%BB%D0%B5%D0%BA%D1%82%D1%80%D0%B8%D1%87%D0%B5%D1%81%D0%BA%D0%B0%D1%8F</t>
        </is>
      </c>
      <c r="N267" s="1" t="inlineStr">
        <is>
          <t>не проверено</t>
        </is>
      </c>
      <c r="O267" s="1" t="inlineStr">
        <is>
          <t>2026-09-11</t>
        </is>
      </c>
      <c r="P267" s="47" t="inlineStr">
        <is>
          <t>уточнить</t>
        </is>
      </c>
      <c r="Q26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68">
      <c r="A268" s="1" t="inlineStr">
        <is>
          <t>2_Заезд</t>
        </is>
      </c>
      <c r="B268" s="1" t="n">
        <v>6</v>
      </c>
      <c r="C268" s="1" t="inlineStr">
        <is>
          <t>Кухня</t>
        </is>
      </c>
      <c r="D268" s="1" t="inlineStr">
        <is>
          <t>Духовой шкаф</t>
        </is>
      </c>
      <c r="E268" s="1" t="inlineStr">
        <is>
          <t>шт</t>
        </is>
      </c>
      <c r="F268" s="1" t="inlineStr">
        <is>
          <t>МИН</t>
        </is>
      </c>
      <c r="G268" s="1" t="inlineStr">
        <is>
          <t>Hansa BOEI68401, 65 л, 8 режимов, конвекция, нерж.</t>
        </is>
      </c>
      <c r="H268" s="43" t="n">
        <v>35990</v>
      </c>
      <c r="I268" s="43" t="n">
        <v>20000</v>
      </c>
      <c r="J268" s="48" t="n">
        <v>80</v>
      </c>
      <c r="K268" s="1" t="inlineStr">
        <is>
          <t>Hansa официальный магазин</t>
        </is>
      </c>
      <c r="L268" s="1" t="inlineStr">
        <is>
          <t>доставка в Саратов</t>
        </is>
      </c>
      <c r="M268" s="45" t="inlineStr">
        <is>
          <t>https://hansa.ru/product/duhovoy-shkaf-hansa-boei68401</t>
        </is>
      </c>
      <c r="N268" s="1" t="inlineStr">
        <is>
          <t>сниппет</t>
        </is>
      </c>
      <c r="O268" s="1" t="inlineStr">
        <is>
          <t>2026-09-11</t>
        </is>
      </c>
      <c r="P268" s="46" t="inlineStr">
        <is>
          <t>ок</t>
        </is>
      </c>
      <c r="Q268" s="1" t="inlineStr">
        <is>
          <t>Разброс 17 390 (hanshome) – 25 490 (E-katalog min) – 40 499 (Эльдорадо). Под смету 20 000 искать младшие Hansa/Weissgauff. DNS: https://www.dns-shop.ru/product/9a1e46576c333330/elektriceskij-duhovoj-skaf-hansa-boei68401-serebristyj/</t>
        </is>
      </c>
    </row>
    <row r="269">
      <c r="A269" s="1" t="inlineStr">
        <is>
          <t>2_Заезд</t>
        </is>
      </c>
      <c r="B269" s="1" t="n">
        <v>6</v>
      </c>
      <c r="C269" s="1" t="inlineStr">
        <is>
          <t>Кухня</t>
        </is>
      </c>
      <c r="D269" s="1" t="inlineStr">
        <is>
          <t>Духовой шкаф</t>
        </is>
      </c>
      <c r="E269" s="1" t="inlineStr">
        <is>
          <t>шт</t>
        </is>
      </c>
      <c r="F269" s="1" t="inlineStr">
        <is>
          <t>СРЕД</t>
        </is>
      </c>
      <c r="G269" s="1" t="inlineStr">
        <is>
          <t>Bosch Serie 2 HBF534ES0Q, 66 л, нерж.</t>
        </is>
      </c>
      <c r="H269" s="43" t="n">
        <v>44200</v>
      </c>
      <c r="I269" s="43" t="n">
        <v>40000</v>
      </c>
      <c r="J269" s="44" t="n">
        <v>10.5</v>
      </c>
      <c r="K269" s="1" t="inlineStr">
        <is>
          <t>Hausdorf (офиц. дилер)</t>
        </is>
      </c>
      <c r="L269" s="1" t="inlineStr">
        <is>
          <t>доставка в Саратов</t>
        </is>
      </c>
      <c r="M269" s="45" t="inlineStr">
        <is>
          <t>https://www.hausdorf.ru/catalog/dukhovye-shkafy/bosch/dukhovoy-shkaf-bosch-hbf534es0q.html</t>
        </is>
      </c>
      <c r="N269" s="1" t="inlineStr">
        <is>
          <t>сниппет</t>
        </is>
      </c>
      <c r="O269" s="1" t="inlineStr">
        <is>
          <t>2026-09-11</t>
        </is>
      </c>
      <c r="P269" s="46" t="inlineStr">
        <is>
          <t>ок</t>
        </is>
      </c>
      <c r="Q269" s="1" t="inlineStr">
        <is>
          <t>Разброс 32 280 (ВсяТехника24) – 33 900 (Технополе) – 52 990 (Техника24).</t>
        </is>
      </c>
    </row>
    <row r="270">
      <c r="A270" s="1" t="inlineStr">
        <is>
          <t>2_Заезд</t>
        </is>
      </c>
      <c r="B270" s="1" t="n">
        <v>6</v>
      </c>
      <c r="C270" s="1" t="inlineStr">
        <is>
          <t>Кухня</t>
        </is>
      </c>
      <c r="D270" s="1" t="inlineStr">
        <is>
          <t>Духовой шкаф</t>
        </is>
      </c>
      <c r="E270" s="1" t="inlineStr">
        <is>
          <t>шт</t>
        </is>
      </c>
      <c r="F270" s="1" t="inlineStr">
        <is>
          <t>МАКС</t>
        </is>
      </c>
      <c r="G270" s="1" t="inlineStr">
        <is>
          <t>Miele H 2860 B (GRGR), 76 л, пиролиз нет, DirectSensor</t>
        </is>
      </c>
      <c r="H270" s="43" t="n">
        <v>117000</v>
      </c>
      <c r="I270" s="43" t="n">
        <v>90000</v>
      </c>
      <c r="J270" s="44" t="n">
        <v>30</v>
      </c>
      <c r="K270" s="1" t="inlineStr">
        <is>
          <t>Hausdorf (офиц. дилер)</t>
        </is>
      </c>
      <c r="L270" s="1" t="inlineStr">
        <is>
          <t>доставка в Саратов</t>
        </is>
      </c>
      <c r="M270" s="45" t="inlineStr">
        <is>
          <t>https://www.hausdorf.ru/catalog/dukhovye-shkafy/miele/dukhovoy-shkaf-miele-h-2860-b-grgr.html</t>
        </is>
      </c>
      <c r="N270" s="1" t="inlineStr">
        <is>
          <t>сниппет</t>
        </is>
      </c>
      <c r="O270" s="1" t="inlineStr">
        <is>
          <t>2026-09-11</t>
        </is>
      </c>
      <c r="P270" s="46" t="inlineStr">
        <is>
          <t>ок</t>
        </is>
      </c>
      <c r="Q270" s="1" t="inlineStr">
        <is>
          <t>Вариант BRWS 83 190 ₽ (vip-technika.ru). Bosch Serie 8 HBG675BS1 — 381 600 ₽ (bosch-centre, выглядит завышенно).</t>
        </is>
      </c>
    </row>
    <row r="271">
      <c r="A271" s="1" t="inlineStr">
        <is>
          <t>2_Заезд</t>
        </is>
      </c>
      <c r="B271" s="1" t="n">
        <v>6</v>
      </c>
      <c r="C271" s="1" t="inlineStr">
        <is>
          <t>Кухня</t>
        </is>
      </c>
      <c r="D271" s="1" t="inlineStr">
        <is>
          <t>Духовой шкаф</t>
        </is>
      </c>
      <c r="E271" s="1" t="inlineStr">
        <is>
          <t>шт</t>
        </is>
      </c>
      <c r="F271" s="1" t="inlineStr">
        <is>
          <t>ВСЕ</t>
        </is>
      </c>
      <c r="G271" s="1" t="inlineStr">
        <is>
          <t>Авито Саратов — поиск «Духовой шкаф» (новые товары магазинов и объявления)</t>
        </is>
      </c>
      <c r="H271" s="43" t="n"/>
      <c r="I271" s="43" t="n"/>
      <c r="J271" s="44" t="n"/>
      <c r="K271" s="1" t="inlineStr">
        <is>
          <t>Авито Саратов</t>
        </is>
      </c>
      <c r="L271" s="1" t="inlineStr">
        <is>
          <t>Саратов</t>
        </is>
      </c>
      <c r="M271" s="45" t="inlineStr">
        <is>
          <t>https://www.avito.ru/saratov?q=%D0%94%D1%83%D1%85%D0%BE%D0%B2%D0%BE%D0%B9%20%D1%88%D0%BA%D0%B0%D1%84</t>
        </is>
      </c>
      <c r="N271" s="1" t="inlineStr">
        <is>
          <t>не проверено</t>
        </is>
      </c>
      <c r="O271" s="1" t="inlineStr">
        <is>
          <t>2026-09-11</t>
        </is>
      </c>
      <c r="P271" s="47" t="inlineStr">
        <is>
          <t>уточнить</t>
        </is>
      </c>
      <c r="Q27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72">
      <c r="A272" s="1" t="inlineStr">
        <is>
          <t>2_Заезд</t>
        </is>
      </c>
      <c r="B272" s="1" t="n">
        <v>7</v>
      </c>
      <c r="C272" s="1" t="inlineStr">
        <is>
          <t>Кухня</t>
        </is>
      </c>
      <c r="D272" s="1" t="inlineStr">
        <is>
          <t>Вытяжка</t>
        </is>
      </c>
      <c r="E272" s="1" t="inlineStr">
        <is>
          <t>шт</t>
        </is>
      </c>
      <c r="F272" s="1" t="inlineStr">
        <is>
          <t>МИН</t>
        </is>
      </c>
      <c r="G272" s="1" t="inlineStr">
        <is>
          <t>Krona Kamilla 600 E2M white, встраиваемая телескопическая 60 см</t>
        </is>
      </c>
      <c r="H272" s="43" t="n">
        <v>12790</v>
      </c>
      <c r="I272" s="43" t="n">
        <v>5000</v>
      </c>
      <c r="J272" s="48" t="n">
        <v>155.8</v>
      </c>
      <c r="K272" s="1" t="inlineStr">
        <is>
          <t>Krona официальный магазин</t>
        </is>
      </c>
      <c r="L272" s="1" t="inlineStr">
        <is>
          <t>доставка в Саратов</t>
        </is>
      </c>
      <c r="M272" s="45" t="inlineStr">
        <is>
          <t>https://krona.ru/catalog/hood/builtin/kamilla_600_e2m_white/</t>
        </is>
      </c>
      <c r="N272" s="1" t="inlineStr">
        <is>
          <t>страница</t>
        </is>
      </c>
      <c r="O272" s="1" t="inlineStr">
        <is>
          <t>2026-09-11</t>
        </is>
      </c>
      <c r="P272" s="47" t="inlineStr">
        <is>
          <t>уточнить</t>
        </is>
      </c>
      <c r="Q272" s="1" t="inlineStr">
        <is>
          <t>На странице «нет в наличии/архив». Каталог встраиваемых Krona «от 5 290 ₽» (сниппет). Weissgauff Aura 60 — цена не найдена. DNS каталог: https://www.dns-shop.ru/?city=saratov</t>
        </is>
      </c>
    </row>
    <row r="273">
      <c r="A273" s="1" t="inlineStr">
        <is>
          <t>2_Заезд</t>
        </is>
      </c>
      <c r="B273" s="1" t="n">
        <v>7</v>
      </c>
      <c r="C273" s="1" t="inlineStr">
        <is>
          <t>Кухня</t>
        </is>
      </c>
      <c r="D273" s="1" t="inlineStr">
        <is>
          <t>Вытяжка</t>
        </is>
      </c>
      <c r="E273" s="1" t="inlineStr">
        <is>
          <t>шт</t>
        </is>
      </c>
      <c r="F273" s="1" t="inlineStr">
        <is>
          <t>СРЕД</t>
        </is>
      </c>
      <c r="G273" s="1" t="inlineStr">
        <is>
          <t>Bosch DFM064W54, телескопическая 60 см, 388 м³/ч</t>
        </is>
      </c>
      <c r="H273" s="43" t="n">
        <v>33690</v>
      </c>
      <c r="I273" s="43" t="n">
        <v>15000</v>
      </c>
      <c r="J273" s="48" t="n">
        <v>124.6</v>
      </c>
      <c r="K273" s="1" t="inlineStr">
        <is>
          <t>Hausdorf (офиц. дилер)</t>
        </is>
      </c>
      <c r="L273" s="1" t="inlineStr">
        <is>
          <t>доставка в Саратов</t>
        </is>
      </c>
      <c r="M273" s="45" t="inlineStr">
        <is>
          <t>https://www.hausdorf.ru/catalog/vytyazhki/bosch/vytyazhka-bosch-dfm064w54.html</t>
        </is>
      </c>
      <c r="N273" s="1" t="inlineStr">
        <is>
          <t>сниппет</t>
        </is>
      </c>
      <c r="O273" s="1" t="inlineStr">
        <is>
          <t>2026-09-11</t>
        </is>
      </c>
      <c r="P273" s="46" t="inlineStr">
        <is>
          <t>ок</t>
        </is>
      </c>
      <c r="Q273" s="1" t="inlineStr">
        <is>
          <t>Bosch-shop 22 890, ВсяТехника24 30 510 ₽. Electrolux LFG516X 50 580 ₽. Смета 15 000 — уровень Krona/Weissgauff, не Bosch.</t>
        </is>
      </c>
    </row>
    <row r="274">
      <c r="A274" s="1" t="inlineStr">
        <is>
          <t>2_Заезд</t>
        </is>
      </c>
      <c r="B274" s="1" t="n">
        <v>7</v>
      </c>
      <c r="C274" s="1" t="inlineStr">
        <is>
          <t>Кухня</t>
        </is>
      </c>
      <c r="D274" s="1" t="inlineStr">
        <is>
          <t>Вытяжка</t>
        </is>
      </c>
      <c r="E274" s="1" t="inlineStr">
        <is>
          <t>шт</t>
        </is>
      </c>
      <c r="F274" s="1" t="inlineStr">
        <is>
          <t>МАКС</t>
        </is>
      </c>
      <c r="G274" s="1" t="inlineStr">
        <is>
          <t>Miele DA 2558, встраиваемая 60 см</t>
        </is>
      </c>
      <c r="H274" s="43" t="n">
        <v>96100</v>
      </c>
      <c r="I274" s="43" t="n">
        <v>40000</v>
      </c>
      <c r="J274" s="48" t="n">
        <v>140.2</v>
      </c>
      <c r="K274" s="1" t="inlineStr">
        <is>
          <t>Технополе (СПб)</t>
        </is>
      </c>
      <c r="L274" s="1" t="inlineStr">
        <is>
          <t>доставка в Саратов</t>
        </is>
      </c>
      <c r="M274" s="45" t="inlineStr">
        <is>
          <t>https://tehnopole.ru/vytyazhka-miele-da2558/</t>
        </is>
      </c>
      <c r="N274" s="1" t="inlineStr">
        <is>
          <t>сниппет</t>
        </is>
      </c>
      <c r="O274" s="1" t="inlineStr">
        <is>
          <t>2026-09-11</t>
        </is>
      </c>
      <c r="P274" s="46" t="inlineStr">
        <is>
          <t>ок</t>
        </is>
      </c>
      <c r="Q274" s="1" t="inlineStr">
        <is>
          <t>Bosch DFS067K51 (Serie 8, выдвижной экран) 135 720–139 230 ₽. Смета 40 000 ближе к Bosch Serie 4/6 или Elica.</t>
        </is>
      </c>
    </row>
    <row r="275">
      <c r="A275" s="1" t="inlineStr">
        <is>
          <t>2_Заезд</t>
        </is>
      </c>
      <c r="B275" s="1" t="n">
        <v>7</v>
      </c>
      <c r="C275" s="1" t="inlineStr">
        <is>
          <t>Кухня</t>
        </is>
      </c>
      <c r="D275" s="1" t="inlineStr">
        <is>
          <t>Вытяжка</t>
        </is>
      </c>
      <c r="E275" s="1" t="inlineStr">
        <is>
          <t>шт</t>
        </is>
      </c>
      <c r="F275" s="1" t="inlineStr">
        <is>
          <t>ВСЕ</t>
        </is>
      </c>
      <c r="G275" s="1" t="inlineStr">
        <is>
          <t>Авито Саратов — поиск «Вытяжка» (новые товары магазинов и объявления)</t>
        </is>
      </c>
      <c r="H275" s="43" t="n"/>
      <c r="I275" s="43" t="n"/>
      <c r="J275" s="44" t="n"/>
      <c r="K275" s="1" t="inlineStr">
        <is>
          <t>Авито Саратов</t>
        </is>
      </c>
      <c r="L275" s="1" t="inlineStr">
        <is>
          <t>Саратов</t>
        </is>
      </c>
      <c r="M275" s="45" t="inlineStr">
        <is>
          <t>https://www.avito.ru/saratov?q=%D0%92%D1%8B%D1%82%D1%8F%D0%B6%D0%BA%D0%B0</t>
        </is>
      </c>
      <c r="N275" s="1" t="inlineStr">
        <is>
          <t>не проверено</t>
        </is>
      </c>
      <c r="O275" s="1" t="inlineStr">
        <is>
          <t>2026-09-11</t>
        </is>
      </c>
      <c r="P275" s="47" t="inlineStr">
        <is>
          <t>уточнить</t>
        </is>
      </c>
      <c r="Q27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76">
      <c r="A276" s="1" t="inlineStr">
        <is>
          <t>2_Заезд</t>
        </is>
      </c>
      <c r="B276" s="1" t="n">
        <v>8</v>
      </c>
      <c r="C276" s="1" t="inlineStr">
        <is>
          <t>Кухня</t>
        </is>
      </c>
      <c r="D276" s="1" t="inlineStr">
        <is>
          <t>Холодильник</t>
        </is>
      </c>
      <c r="E276" s="1" t="inlineStr">
        <is>
          <t>шт</t>
        </is>
      </c>
      <c r="F276" s="1" t="inlineStr">
        <is>
          <t>МИН</t>
        </is>
      </c>
      <c r="G276" s="1" t="inlineStr">
        <is>
          <t>Indesit ITS 4180 W, 185 см, NoFrost</t>
        </is>
      </c>
      <c r="H276" s="43" t="n">
        <v>32990</v>
      </c>
      <c r="I276" s="43" t="n">
        <v>35000</v>
      </c>
      <c r="J276" s="44" t="n">
        <v>-5.7</v>
      </c>
      <c r="K276" s="1" t="inlineStr">
        <is>
          <t>Indesit-store (офиц.)</t>
        </is>
      </c>
      <c r="L276" s="1" t="inlineStr">
        <is>
          <t>доставка в Саратов</t>
        </is>
      </c>
      <c r="M276" s="45" t="inlineStr">
        <is>
          <t>https://indesit-store.ru/catalog/krupnaya-bytovaya-tekhnika/kholodilniki-i-morozilniki/kholodilniki/indesit_its_4180_w/</t>
        </is>
      </c>
      <c r="N276" s="1" t="inlineStr">
        <is>
          <t>сниппет</t>
        </is>
      </c>
      <c r="O276" s="1" t="inlineStr">
        <is>
          <t>2026-09-11</t>
        </is>
      </c>
      <c r="P276" s="46" t="inlineStr">
        <is>
          <t>ок</t>
        </is>
      </c>
      <c r="Q276" s="1" t="inlineStr">
        <is>
          <t>RBT 26 090, Твой Дом 30 490 ₽. Atlant ХМ 4214 — цена не найдена. Эльдорадо: https://www.eldorado.ru/cat/detail/kholodilnik-indesit-its-4180-w/ (сайт 503).</t>
        </is>
      </c>
    </row>
    <row r="277">
      <c r="A277" s="1" t="inlineStr">
        <is>
          <t>2_Заезд</t>
        </is>
      </c>
      <c r="B277" s="1" t="n">
        <v>8</v>
      </c>
      <c r="C277" s="1" t="inlineStr">
        <is>
          <t>Кухня</t>
        </is>
      </c>
      <c r="D277" s="1" t="inlineStr">
        <is>
          <t>Холодильник</t>
        </is>
      </c>
      <c r="E277" s="1" t="inlineStr">
        <is>
          <t>шт</t>
        </is>
      </c>
      <c r="F277" s="1" t="inlineStr">
        <is>
          <t>СРЕД</t>
        </is>
      </c>
      <c r="G277" s="1" t="inlineStr">
        <is>
          <t>Haier CEF537AWG, 368 л, NoFrost, белый</t>
        </is>
      </c>
      <c r="H277" s="43" t="n">
        <v>50990</v>
      </c>
      <c r="I277" s="43" t="n">
        <v>70000</v>
      </c>
      <c r="J277" s="44" t="n">
        <v>-27.2</v>
      </c>
      <c r="K277" s="1" t="inlineStr">
        <is>
          <t>Эльдорадо</t>
        </is>
      </c>
      <c r="L277" s="1" t="inlineStr">
        <is>
          <t>доставка в Саратов</t>
        </is>
      </c>
      <c r="M277" s="45" t="inlineStr">
        <is>
          <t>https://www.eldorado.ru/cat/detail/kholodilnik-haier-cef537awg/</t>
        </is>
      </c>
      <c r="N277" s="1" t="inlineStr">
        <is>
          <t>сниппет</t>
        </is>
      </c>
      <c r="O277" s="1" t="inlineStr">
        <is>
          <t>2026-09-11</t>
        </is>
      </c>
      <c r="P277" s="46" t="inlineStr">
        <is>
          <t>ок</t>
        </is>
      </c>
      <c r="Q277" s="1" t="inlineStr">
        <is>
          <t>Hausdorf 48 999, Мега-Кухня 46 999, ВсяТехника24 42 999 ₽. LG GA-B459 — цена не найдена.</t>
        </is>
      </c>
    </row>
    <row r="278">
      <c r="A278" s="1" t="inlineStr">
        <is>
          <t>2_Заезд</t>
        </is>
      </c>
      <c r="B278" s="1" t="n">
        <v>8</v>
      </c>
      <c r="C278" s="1" t="inlineStr">
        <is>
          <t>Кухня</t>
        </is>
      </c>
      <c r="D278" s="1" t="inlineStr">
        <is>
          <t>Холодильник</t>
        </is>
      </c>
      <c r="E278" s="1" t="inlineStr">
        <is>
          <t>шт</t>
        </is>
      </c>
      <c r="F278" s="1" t="inlineStr">
        <is>
          <t>МАКС</t>
        </is>
      </c>
      <c r="G278" s="1" t="inlineStr">
        <is>
          <t>Liebherr CNsfd 5723, 201 см, NoFrost, DuoCooling</t>
        </is>
      </c>
      <c r="H278" s="43" t="n">
        <v>93780</v>
      </c>
      <c r="I278" s="43" t="n">
        <v>180000</v>
      </c>
      <c r="J278" s="48" t="n">
        <v>-47.9</v>
      </c>
      <c r="K278" s="1" t="inlineStr">
        <is>
          <t>L-rus.ru (Liebherr)</t>
        </is>
      </c>
      <c r="L278" s="1" t="inlineStr">
        <is>
          <t>доставка в Саратов</t>
        </is>
      </c>
      <c r="M278" s="45" t="inlineStr">
        <is>
          <t>https://l-rus.ru/liebherr/holodilniki/dvukhkamernye-kholodilniki-s-morozilnikom/kholodilnik-liebherr-cnsfd-5723.html</t>
        </is>
      </c>
      <c r="N278" s="1" t="inlineStr">
        <is>
          <t>сниппет</t>
        </is>
      </c>
      <c r="O278" s="1" t="inlineStr">
        <is>
          <t>2026-09-11</t>
        </is>
      </c>
      <c r="P278" s="46" t="inlineStr">
        <is>
          <t>ок</t>
        </is>
      </c>
      <c r="Q278" s="1" t="inlineStr">
        <is>
          <t>Bosch KGN39VW25R 99 370 (ЧёПоЧём) / 174 600 (Hausdorf) — большой разброс. Смета 180 000 — уровень Liebherr CNsdb 5723 (145–154 тыс.) или Side-by-Side.</t>
        </is>
      </c>
    </row>
    <row r="279">
      <c r="A279" s="1" t="inlineStr">
        <is>
          <t>2_Заезд</t>
        </is>
      </c>
      <c r="B279" s="1" t="n">
        <v>8</v>
      </c>
      <c r="C279" s="1" t="inlineStr">
        <is>
          <t>Кухня</t>
        </is>
      </c>
      <c r="D279" s="1" t="inlineStr">
        <is>
          <t>Холодильник</t>
        </is>
      </c>
      <c r="E279" s="1" t="inlineStr">
        <is>
          <t>шт</t>
        </is>
      </c>
      <c r="F279" s="1" t="inlineStr">
        <is>
          <t>ВСЕ</t>
        </is>
      </c>
      <c r="G279" s="1" t="inlineStr">
        <is>
          <t>Авито Саратов — поиск «Холодильник» (новые товары магазинов и объявления)</t>
        </is>
      </c>
      <c r="H279" s="43" t="n"/>
      <c r="I279" s="43" t="n"/>
      <c r="J279" s="44" t="n"/>
      <c r="K279" s="1" t="inlineStr">
        <is>
          <t>Авито Саратов</t>
        </is>
      </c>
      <c r="L279" s="1" t="inlineStr">
        <is>
          <t>Саратов</t>
        </is>
      </c>
      <c r="M279" s="45" t="inlineStr">
        <is>
          <t>https://www.avito.ru/saratov?q=%D0%A5%D0%BE%D0%BB%D0%BE%D0%B4%D0%B8%D0%BB%D1%8C%D0%BD%D0%B8%D0%BA</t>
        </is>
      </c>
      <c r="N279" s="1" t="inlineStr">
        <is>
          <t>не проверено</t>
        </is>
      </c>
      <c r="O279" s="1" t="inlineStr">
        <is>
          <t>2026-09-11</t>
        </is>
      </c>
      <c r="P279" s="47" t="inlineStr">
        <is>
          <t>уточнить</t>
        </is>
      </c>
      <c r="Q27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80">
      <c r="A280" s="1" t="inlineStr">
        <is>
          <t>2_Заезд</t>
        </is>
      </c>
      <c r="B280" s="1" t="n">
        <v>9</v>
      </c>
      <c r="C280" s="1" t="inlineStr">
        <is>
          <t>Кухня</t>
        </is>
      </c>
      <c r="D280" s="1" t="inlineStr">
        <is>
          <t>Посудомоечная машина</t>
        </is>
      </c>
      <c r="E280" s="1" t="inlineStr">
        <is>
          <t>шт</t>
        </is>
      </c>
      <c r="F280" s="1" t="inlineStr">
        <is>
          <t>МИН</t>
        </is>
      </c>
      <c r="G280" s="1" t="inlineStr">
        <is>
          <t>Weissgauff BDW 4004 (встраиваемая 45 см) — справочно, в смете МИН не берём</t>
        </is>
      </c>
      <c r="H280" s="43" t="n">
        <v>16576</v>
      </c>
      <c r="I280" s="43" t="n">
        <v>0</v>
      </c>
      <c r="J280" s="44" t="n"/>
      <c r="K280" s="1" t="inlineStr">
        <is>
          <t>price.ru (агрегатор, мин. цена)</t>
        </is>
      </c>
      <c r="L280" s="1" t="inlineStr">
        <is>
          <t>доставка в Саратов</t>
        </is>
      </c>
      <c r="M280" s="45" t="inlineStr">
        <is>
          <t>https://price.ru/posudomoechnye-mashiny/weissgauff-bdw-4004/</t>
        </is>
      </c>
      <c r="N280" s="1" t="inlineStr">
        <is>
          <t>сниппет</t>
        </is>
      </c>
      <c r="O280" s="1" t="inlineStr">
        <is>
          <t>2026-09-11</t>
        </is>
      </c>
      <c r="P280" s="47" t="inlineStr">
        <is>
          <t>уточнить</t>
        </is>
      </c>
      <c r="Q280" s="1" t="inlineStr">
        <is>
          <t>Смета 0 (не берём). Разброс 16 576–29 120 ₽ по 39 магазинам. Официальный: https://www.weissgauff.ru/goods_162776/posudomoechnaya_mashina_weissgauff_bdw_4004_.html</t>
        </is>
      </c>
    </row>
    <row r="281">
      <c r="A281" s="1" t="inlineStr">
        <is>
          <t>2_Заезд</t>
        </is>
      </c>
      <c r="B281" s="1" t="n">
        <v>9</v>
      </c>
      <c r="C281" s="1" t="inlineStr">
        <is>
          <t>Кухня</t>
        </is>
      </c>
      <c r="D281" s="1" t="inlineStr">
        <is>
          <t>Посудомоечная машина</t>
        </is>
      </c>
      <c r="E281" s="1" t="inlineStr">
        <is>
          <t>шт</t>
        </is>
      </c>
      <c r="F281" s="1" t="inlineStr">
        <is>
          <t>СРЕД</t>
        </is>
      </c>
      <c r="G281" s="1" t="inlineStr">
        <is>
          <t>Bosch Serie 2 SMV25AX02R, встраиваемая 60 см</t>
        </is>
      </c>
      <c r="H281" s="43" t="n">
        <v>34990</v>
      </c>
      <c r="I281" s="43" t="n">
        <v>35000</v>
      </c>
      <c r="J281" s="44" t="n">
        <v>-0</v>
      </c>
      <c r="K281" s="1" t="inlineStr">
        <is>
          <t>bs-rus.ru (офиц. интернет-магазин)</t>
        </is>
      </c>
      <c r="L281" s="1" t="inlineStr">
        <is>
          <t>доставка в Саратов</t>
        </is>
      </c>
      <c r="M281" s="45" t="inlineStr">
        <is>
          <t>https://bs-rus.ru/bosch/posudomoechnye-mashiny/posudomoechnaya-mashina-bosch-smv25ax02r.html</t>
        </is>
      </c>
      <c r="N281" s="1" t="inlineStr">
        <is>
          <t>сниппет</t>
        </is>
      </c>
      <c r="O281" s="1" t="inlineStr">
        <is>
          <t>2026-09-11</t>
        </is>
      </c>
      <c r="P281" s="46" t="inlineStr">
        <is>
          <t>ок</t>
        </is>
      </c>
      <c r="Q281" s="1" t="inlineStr">
        <is>
          <t>SMV25EX02R 34 490 (bosch-shop) – 60 700 (Hausdorf) – 129 500 (bosch-centre) — разброс, проверить у продавца в Саратове.</t>
        </is>
      </c>
    </row>
    <row r="282">
      <c r="A282" s="1" t="inlineStr">
        <is>
          <t>2_Заезд</t>
        </is>
      </c>
      <c r="B282" s="1" t="n">
        <v>9</v>
      </c>
      <c r="C282" s="1" t="inlineStr">
        <is>
          <t>Кухня</t>
        </is>
      </c>
      <c r="D282" s="1" t="inlineStr">
        <is>
          <t>Посудомоечная машина</t>
        </is>
      </c>
      <c r="E282" s="1" t="inlineStr">
        <is>
          <t>шт</t>
        </is>
      </c>
      <c r="F282" s="1" t="inlineStr">
        <is>
          <t>МАКС</t>
        </is>
      </c>
      <c r="G282" s="1" t="inlineStr">
        <is>
          <t>Miele G 5000 SCi, встраиваемая 60 см</t>
        </is>
      </c>
      <c r="H282" s="43" t="n">
        <v>69900</v>
      </c>
      <c r="I282" s="43" t="n">
        <v>80000</v>
      </c>
      <c r="J282" s="44" t="n">
        <v>-12.6</v>
      </c>
      <c r="K282" s="1" t="inlineStr">
        <is>
          <t>Hausdorf (офиц. дилер)</t>
        </is>
      </c>
      <c r="L282" s="1" t="inlineStr">
        <is>
          <t>доставка в Саратов</t>
        </is>
      </c>
      <c r="M282" s="45" t="inlineStr">
        <is>
          <t>https://www.hausdorf.ru/catalog/posudomoechnye-mashiny/miele/posudomoechnaya-mashina-miele-g-5000-sci.html</t>
        </is>
      </c>
      <c r="N282" s="1" t="inlineStr">
        <is>
          <t>сниппет</t>
        </is>
      </c>
      <c r="O282" s="1" t="inlineStr">
        <is>
          <t>2026-09-11</t>
        </is>
      </c>
      <c r="P282" s="46" t="inlineStr">
        <is>
          <t>ок</t>
        </is>
      </c>
      <c r="Q282" s="1" t="inlineStr">
        <is>
          <t>My Miele Shop: G 5000 SCi IN 123 880, G 5000 SC BRWS 82 480 ₽. Bosch Serie 8 SMV8YCX03E — цена не найдена.</t>
        </is>
      </c>
    </row>
    <row r="283">
      <c r="A283" s="1" t="inlineStr">
        <is>
          <t>2_Заезд</t>
        </is>
      </c>
      <c r="B283" s="1" t="n">
        <v>9</v>
      </c>
      <c r="C283" s="1" t="inlineStr">
        <is>
          <t>Кухня</t>
        </is>
      </c>
      <c r="D283" s="1" t="inlineStr">
        <is>
          <t>Посудомоечная машина</t>
        </is>
      </c>
      <c r="E283" s="1" t="inlineStr">
        <is>
          <t>шт</t>
        </is>
      </c>
      <c r="F283" s="1" t="inlineStr">
        <is>
          <t>ВСЕ</t>
        </is>
      </c>
      <c r="G283" s="1" t="inlineStr">
        <is>
          <t>Авито Саратов — поиск «Посудомоечная машина» (новые товары магазинов и объявления)</t>
        </is>
      </c>
      <c r="H283" s="43" t="n"/>
      <c r="I283" s="43" t="n"/>
      <c r="J283" s="44" t="n"/>
      <c r="K283" s="1" t="inlineStr">
        <is>
          <t>Авито Саратов</t>
        </is>
      </c>
      <c r="L283" s="1" t="inlineStr">
        <is>
          <t>Саратов</t>
        </is>
      </c>
      <c r="M283" s="45" t="inlineStr">
        <is>
          <t>https://www.avito.ru/saratov?q=%D0%9F%D0%BE%D1%81%D1%83%D0%B4%D0%BE%D0%BC%D0%BE%D0%B5%D1%87%D0%BD%D0%B0%D1%8F%20%D0%BC%D0%B0%D1%88%D0%B8%D0%BD%D0%B0</t>
        </is>
      </c>
      <c r="N283" s="1" t="inlineStr">
        <is>
          <t>не проверено</t>
        </is>
      </c>
      <c r="O283" s="1" t="inlineStr">
        <is>
          <t>2026-09-11</t>
        </is>
      </c>
      <c r="P283" s="47" t="inlineStr">
        <is>
          <t>уточнить</t>
        </is>
      </c>
      <c r="Q28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84">
      <c r="A284" s="1" t="inlineStr">
        <is>
          <t>2_Заезд</t>
        </is>
      </c>
      <c r="B284" s="1" t="n">
        <v>10</v>
      </c>
      <c r="C284" s="1" t="inlineStr">
        <is>
          <t>Кухня</t>
        </is>
      </c>
      <c r="D284" s="1" t="inlineStr">
        <is>
          <t>Микроволновка</t>
        </is>
      </c>
      <c r="E284" s="1" t="inlineStr">
        <is>
          <t>шт</t>
        </is>
      </c>
      <c r="F284" s="1" t="inlineStr">
        <is>
          <t>МИН</t>
        </is>
      </c>
      <c r="G284" s="1" t="inlineStr">
        <is>
          <t>Samsung MS23K3513AK/BW, соло 23 л, отдельностоящая</t>
        </is>
      </c>
      <c r="H284" s="43" t="n">
        <v>10990</v>
      </c>
      <c r="I284" s="43" t="n">
        <v>6000</v>
      </c>
      <c r="J284" s="48" t="n">
        <v>83.2</v>
      </c>
      <c r="K284" s="1" t="inlineStr">
        <is>
          <t>Galaxystore</t>
        </is>
      </c>
      <c r="L284" s="1" t="inlineStr">
        <is>
          <t>доставка в Саратов</t>
        </is>
      </c>
      <c r="M284" s="45" t="inlineStr">
        <is>
          <t>https://galaxystore.ru/product/MS23K3513AK-BW/</t>
        </is>
      </c>
      <c r="N284" s="1" t="inlineStr">
        <is>
          <t>сниппет</t>
        </is>
      </c>
      <c r="O284" s="1" t="inlineStr">
        <is>
          <t>2026-09-11</t>
        </is>
      </c>
      <c r="P284" s="46" t="inlineStr">
        <is>
          <t>ок</t>
        </is>
      </c>
      <c r="Q284" s="1" t="inlineStr">
        <is>
          <t>LG MS2044V 10 736 ₽ (Я.Маркет). Смета 6 000 — уровень no-name/Hansa 20 л, конкретной цены не найдено.</t>
        </is>
      </c>
    </row>
    <row r="285">
      <c r="A285" s="1" t="inlineStr">
        <is>
          <t>2_Заезд</t>
        </is>
      </c>
      <c r="B285" s="1" t="n">
        <v>10</v>
      </c>
      <c r="C285" s="1" t="inlineStr">
        <is>
          <t>Кухня</t>
        </is>
      </c>
      <c r="D285" s="1" t="inlineStr">
        <is>
          <t>Микроволновка</t>
        </is>
      </c>
      <c r="E285" s="1" t="inlineStr">
        <is>
          <t>шт</t>
        </is>
      </c>
      <c r="F285" s="1" t="inlineStr">
        <is>
          <t>СРЕД</t>
        </is>
      </c>
      <c r="G285" s="1" t="inlineStr">
        <is>
          <t>Weissgauff HMT-252, встраиваемая 25 л без поворотного стола</t>
        </is>
      </c>
      <c r="H285" s="43" t="n">
        <v>16890</v>
      </c>
      <c r="I285" s="43" t="n">
        <v>12000</v>
      </c>
      <c r="J285" s="48" t="n">
        <v>40.8</v>
      </c>
      <c r="K285" s="1" t="inlineStr">
        <is>
          <t>Weissgauff официальный магазин</t>
        </is>
      </c>
      <c r="L285" s="1" t="inlineStr">
        <is>
          <t>доставка в Саратов</t>
        </is>
      </c>
      <c r="M285" s="45" t="inlineStr">
        <is>
          <t>https://www.weissgauff.ru/goods_165870/vstraivaemaya_mikrovolnovaya_pech_bez_povorotnogo_stola_weissgauff_hmt252.html</t>
        </is>
      </c>
      <c r="N285" s="1" t="inlineStr">
        <is>
          <t>сниппет</t>
        </is>
      </c>
      <c r="O285" s="1" t="inlineStr">
        <is>
          <t>2026-09-11</t>
        </is>
      </c>
      <c r="P285" s="46" t="inlineStr">
        <is>
          <t>ок</t>
        </is>
      </c>
      <c r="Q285" s="1" t="inlineStr">
        <is>
          <t>Под верх до потолка логична встраиваемая. Соло-альтернатива LG MS2044V 15 300 ₽ (ВсяТехника24).</t>
        </is>
      </c>
    </row>
    <row r="286">
      <c r="A286" s="1" t="inlineStr">
        <is>
          <t>2_Заезд</t>
        </is>
      </c>
      <c r="B286" s="1" t="n">
        <v>10</v>
      </c>
      <c r="C286" s="1" t="inlineStr">
        <is>
          <t>Кухня</t>
        </is>
      </c>
      <c r="D286" s="1" t="inlineStr">
        <is>
          <t>Микроволновка</t>
        </is>
      </c>
      <c r="E286" s="1" t="inlineStr">
        <is>
          <t>шт</t>
        </is>
      </c>
      <c r="F286" s="1" t="inlineStr">
        <is>
          <t>МАКС</t>
        </is>
      </c>
      <c r="G286" s="1" t="inlineStr">
        <is>
          <t>Bosch BFL523MS0, встраиваемая 20 л, нерж.</t>
        </is>
      </c>
      <c r="H286" s="43" t="n">
        <v>42740</v>
      </c>
      <c r="I286" s="43" t="n">
        <v>30000</v>
      </c>
      <c r="J286" s="48" t="n">
        <v>42.5</v>
      </c>
      <c r="K286" s="1" t="inlineStr">
        <is>
          <t>Bosch-centre.ru</t>
        </is>
      </c>
      <c r="L286" s="1" t="inlineStr">
        <is>
          <t>доставка в Саратов</t>
        </is>
      </c>
      <c r="M286" s="45" t="inlineStr">
        <is>
          <t>https://bosch-centre.ru/bosch/mikrovolnovye-pechi/vstraivaemaya-mikrovolnovaya-pech-bosch-bfl523ms0.html</t>
        </is>
      </c>
      <c r="N286" s="1" t="inlineStr">
        <is>
          <t>сниппет</t>
        </is>
      </c>
      <c r="O286" s="1" t="inlineStr">
        <is>
          <t>2026-09-11</t>
        </is>
      </c>
      <c r="P286" s="46" t="inlineStr">
        <is>
          <t>ок</t>
        </is>
      </c>
      <c r="Q286" s="1" t="inlineStr">
        <is>
          <t>Hausdorf BEL523MS0 (с грилем) 39 600 ₽. Miele M 2230 SC 106 400, M 2240 SC 194 550 ₽ — сильно выше сметы.</t>
        </is>
      </c>
    </row>
    <row r="287">
      <c r="A287" s="1" t="inlineStr">
        <is>
          <t>2_Заезд</t>
        </is>
      </c>
      <c r="B287" s="1" t="n">
        <v>10</v>
      </c>
      <c r="C287" s="1" t="inlineStr">
        <is>
          <t>Кухня</t>
        </is>
      </c>
      <c r="D287" s="1" t="inlineStr">
        <is>
          <t>Микроволновка</t>
        </is>
      </c>
      <c r="E287" s="1" t="inlineStr">
        <is>
          <t>шт</t>
        </is>
      </c>
      <c r="F287" s="1" t="inlineStr">
        <is>
          <t>ВСЕ</t>
        </is>
      </c>
      <c r="G287" s="1" t="inlineStr">
        <is>
          <t>Авито Саратов — поиск «Микроволновка» (новые товары магазинов и объявления)</t>
        </is>
      </c>
      <c r="H287" s="43" t="n"/>
      <c r="I287" s="43" t="n"/>
      <c r="J287" s="44" t="n"/>
      <c r="K287" s="1" t="inlineStr">
        <is>
          <t>Авито Саратов</t>
        </is>
      </c>
      <c r="L287" s="1" t="inlineStr">
        <is>
          <t>Саратов</t>
        </is>
      </c>
      <c r="M287" s="45" t="inlineStr">
        <is>
          <t>https://www.avito.ru/saratov?q=%D0%9C%D0%B8%D0%BA%D1%80%D0%BE%D0%B2%D0%BE%D0%BB%D0%BD%D0%BE%D0%B2%D0%BA%D0%B0</t>
        </is>
      </c>
      <c r="N287" s="1" t="inlineStr">
        <is>
          <t>не проверено</t>
        </is>
      </c>
      <c r="O287" s="1" t="inlineStr">
        <is>
          <t>2026-09-11</t>
        </is>
      </c>
      <c r="P287" s="47" t="inlineStr">
        <is>
          <t>уточнить</t>
        </is>
      </c>
      <c r="Q28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88">
      <c r="A288" s="1" t="inlineStr">
        <is>
          <t>2_Заезд</t>
        </is>
      </c>
      <c r="B288" s="1" t="n">
        <v>11</v>
      </c>
      <c r="C288" s="1" t="inlineStr">
        <is>
          <t>Кухня</t>
        </is>
      </c>
      <c r="D288" s="1" t="inlineStr">
        <is>
          <t>Обеденный стол + стулья (4 шт)</t>
        </is>
      </c>
      <c r="E288" s="1" t="inlineStr">
        <is>
          <t>компл</t>
        </is>
      </c>
      <c r="F288" s="1" t="inlineStr">
        <is>
          <t>МИН</t>
        </is>
      </c>
      <c r="G288" s="1" t="inlineStr">
        <is>
          <t>Hoff обеденная группа «Ингрид» (со скидкой 21% с 25 399 ₽)</t>
        </is>
      </c>
      <c r="H288" s="43" t="n">
        <v>19999</v>
      </c>
      <c r="I288" s="43" t="n">
        <v>12000</v>
      </c>
      <c r="J288" s="48" t="n">
        <v>66.7</v>
      </c>
      <c r="K288" s="1" t="inlineStr">
        <is>
          <t>Hoff (Саратов, Happy Молл)</t>
        </is>
      </c>
      <c r="L288" s="1" t="inlineStr">
        <is>
          <t>Саратов</t>
        </is>
      </c>
      <c r="M288" s="45" t="inlineStr">
        <is>
          <t>https://hoff.ru/catalog/kuhnya/obedennye_gruppy/</t>
        </is>
      </c>
      <c r="N288" s="1" t="inlineStr">
        <is>
          <t>сниппет</t>
        </is>
      </c>
      <c r="O288" s="1" t="inlineStr">
        <is>
          <t>2026-09-11</t>
        </is>
      </c>
      <c r="P288" s="47" t="inlineStr">
        <is>
          <t>уточнить</t>
        </is>
      </c>
      <c r="Q288" s="1" t="inlineStr">
        <is>
          <t>Состав группы (число стульев) в сниппете не виден — проверить. Смета 12 000: столы Hoff «от 2 499 ₽» + стулья со скидкой https://hoff.ru/catalog/kuhnya/obedennye_gruppy/kuhonnye_stulya/?tovary_so_skidkoi=1</t>
        </is>
      </c>
    </row>
    <row r="289">
      <c r="A289" s="1" t="inlineStr">
        <is>
          <t>2_Заезд</t>
        </is>
      </c>
      <c r="B289" s="1" t="n">
        <v>11</v>
      </c>
      <c r="C289" s="1" t="inlineStr">
        <is>
          <t>Кухня</t>
        </is>
      </c>
      <c r="D289" s="1" t="inlineStr">
        <is>
          <t>Обеденный стол + стулья (4 шт)</t>
        </is>
      </c>
      <c r="E289" s="1" t="inlineStr">
        <is>
          <t>компл</t>
        </is>
      </c>
      <c r="F289" s="1" t="inlineStr">
        <is>
          <t>СРЕД</t>
        </is>
      </c>
      <c r="G289" s="1" t="inlineStr">
        <is>
          <t>Hoff стол «Киото» раздвижной 120(152)×74 дуб табакко (8 989 ₽) + 4 мягких стула</t>
        </is>
      </c>
      <c r="H289" s="43" t="n"/>
      <c r="I289" s="43" t="n">
        <v>35000</v>
      </c>
      <c r="J289" s="44" t="n"/>
      <c r="K289" s="1" t="inlineStr">
        <is>
          <t>Hoff (Саратов, Happy Молл)</t>
        </is>
      </c>
      <c r="L289" s="1" t="inlineStr">
        <is>
          <t>Саратов</t>
        </is>
      </c>
      <c r="M289" s="45" t="inlineStr">
        <is>
          <t>https://hoff.ru/catalog/kuhnya/obedennye_gruppy/kuhonnye_stoly/?tsvet=dub</t>
        </is>
      </c>
      <c r="N289" s="1" t="inlineStr">
        <is>
          <t>сниппет</t>
        </is>
      </c>
      <c r="O289" s="1" t="inlineStr">
        <is>
          <t>2026-09-11</t>
        </is>
      </c>
      <c r="P289" s="47" t="inlineStr">
        <is>
          <t>уточнить</t>
        </is>
      </c>
      <c r="Q289" s="1" t="inlineStr">
        <is>
          <t>Цена стола видна (8 989 ₽, сниппет), цен стульев не видно — комплект не суммирую. Альт. стол «Милан-2» 13 307 ₽.</t>
        </is>
      </c>
    </row>
    <row r="290">
      <c r="A290" s="1" t="inlineStr">
        <is>
          <t>2_Заезд</t>
        </is>
      </c>
      <c r="B290" s="1" t="n">
        <v>11</v>
      </c>
      <c r="C290" s="1" t="inlineStr">
        <is>
          <t>Кухня</t>
        </is>
      </c>
      <c r="D290" s="1" t="inlineStr">
        <is>
          <t>Обеденный стол + стулья (4 шт)</t>
        </is>
      </c>
      <c r="E290" s="1" t="inlineStr">
        <is>
          <t>компл</t>
        </is>
      </c>
      <c r="F290" s="1" t="inlineStr">
        <is>
          <t>МАКС</t>
        </is>
      </c>
      <c r="G290" s="1" t="inlineStr">
        <is>
          <t>Стол массив дуба «от» 34 900 ₽ (INMYROOM) + 4 стула массив «от» 3 870 ₽ (Amadey)</t>
        </is>
      </c>
      <c r="H290" s="43" t="n">
        <v>50380</v>
      </c>
      <c r="I290" s="43" t="n">
        <v>100000</v>
      </c>
      <c r="J290" s="48" t="n">
        <v>-49.6</v>
      </c>
      <c r="K290" s="1" t="inlineStr">
        <is>
          <t>INMYROOM / Amadey</t>
        </is>
      </c>
      <c r="L290" s="1" t="inlineStr">
        <is>
          <t>доставка в Саратов</t>
        </is>
      </c>
      <c r="M290" s="45" t="inlineStr">
        <is>
          <t>https://vladivostok.inmyroom.ru/products/mebel/stoly/obedennye-stoly/mat-massiv/vda-dub</t>
        </is>
      </c>
      <c r="N290" s="1" t="inlineStr">
        <is>
          <t>сниппет</t>
        </is>
      </c>
      <c r="O290" s="1" t="inlineStr">
        <is>
          <t>2026-09-11</t>
        </is>
      </c>
      <c r="P290" s="47" t="inlineStr">
        <is>
          <t>уточнить</t>
        </is>
      </c>
      <c r="Q290" s="1" t="inlineStr">
        <is>
          <t>Расчёт по нижним ценам «от»; смета 100 000 — уровень дизайнерских групп, в Hoff таких цен в выдаче нет.</t>
        </is>
      </c>
    </row>
    <row r="291">
      <c r="A291" s="1" t="inlineStr">
        <is>
          <t>2_Заезд</t>
        </is>
      </c>
      <c r="B291" s="1" t="n">
        <v>11</v>
      </c>
      <c r="C291" s="1" t="inlineStr">
        <is>
          <t>Кухня</t>
        </is>
      </c>
      <c r="D291" s="1" t="inlineStr">
        <is>
          <t>Обеденный стол + стулья (4 шт)</t>
        </is>
      </c>
      <c r="E291" s="1" t="inlineStr">
        <is>
          <t>компл</t>
        </is>
      </c>
      <c r="F291" s="1" t="inlineStr">
        <is>
          <t>ВСЕ</t>
        </is>
      </c>
      <c r="G291" s="1" t="inlineStr">
        <is>
          <t>Авито Саратов — поиск «Обеденный стол + стулья» (новые товары магазинов и объявления)</t>
        </is>
      </c>
      <c r="H291" s="43" t="n"/>
      <c r="I291" s="43" t="n"/>
      <c r="J291" s="44" t="n"/>
      <c r="K291" s="1" t="inlineStr">
        <is>
          <t>Авито Саратов</t>
        </is>
      </c>
      <c r="L291" s="1" t="inlineStr">
        <is>
          <t>Саратов</t>
        </is>
      </c>
      <c r="M291" s="45" t="inlineStr">
        <is>
          <t>https://www.avito.ru/saratov?q=%D0%9E%D0%B1%D0%B5%D0%B4%D0%B5%D0%BD%D0%BD%D1%8B%D0%B9%20%D1%81%D1%82%D0%BE%D0%BB%20%2B%20%D1%81%D1%82%D1%83%D0%BB%D1%8C%D1%8F</t>
        </is>
      </c>
      <c r="N291" s="1" t="inlineStr">
        <is>
          <t>не проверено</t>
        </is>
      </c>
      <c r="O291" s="1" t="inlineStr">
        <is>
          <t>2026-09-11</t>
        </is>
      </c>
      <c r="P291" s="47" t="inlineStr">
        <is>
          <t>уточнить</t>
        </is>
      </c>
      <c r="Q29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92">
      <c r="A292" s="1" t="inlineStr">
        <is>
          <t>2_Заезд</t>
        </is>
      </c>
      <c r="B292" s="1" t="n">
        <v>12</v>
      </c>
      <c r="C292" s="1" t="inlineStr">
        <is>
          <t>Кухня</t>
        </is>
      </c>
      <c r="D292" s="1" t="inlineStr">
        <is>
          <t>Посуда, кухонная утварь, текстиль</t>
        </is>
      </c>
      <c r="E292" s="1" t="inlineStr">
        <is>
          <t>компл</t>
        </is>
      </c>
      <c r="F292" s="1" t="inlineStr">
        <is>
          <t>МИН</t>
        </is>
      </c>
      <c r="G292" s="1" t="inlineStr">
        <is>
          <t>Набор кастрюль нерж. 6 предметов (Hoffmann) — только кастрюли</t>
        </is>
      </c>
      <c r="H292" s="43" t="n">
        <v>4490</v>
      </c>
      <c r="I292" s="43" t="n">
        <v>8000</v>
      </c>
      <c r="J292" s="48" t="n">
        <v>-43.9</v>
      </c>
      <c r="K292" s="1" t="inlineStr">
        <is>
          <t>Маркетплейсы (Я.Маркет/Ozon)</t>
        </is>
      </c>
      <c r="L292" s="1" t="inlineStr">
        <is>
          <t>доставка в Саратов</t>
        </is>
      </c>
      <c r="M292" s="45" t="inlineStr">
        <is>
          <t>https://market.yandex.ru/category/nabory-kastryul-hoff</t>
        </is>
      </c>
      <c r="N292" s="1" t="inlineStr">
        <is>
          <t>сниппет</t>
        </is>
      </c>
      <c r="O292" s="1" t="inlineStr">
        <is>
          <t>2026-09-11</t>
        </is>
      </c>
      <c r="P292" s="47" t="inlineStr">
        <is>
          <t>уточнить</t>
        </is>
      </c>
      <c r="Q292" s="1" t="inlineStr">
        <is>
          <t>Смета — весь комплект (посуда+утварь+текстиль), сниппет только по набору кастрюль; магазин в сниппете не назван.</t>
        </is>
      </c>
    </row>
    <row r="293">
      <c r="A293" s="1" t="inlineStr">
        <is>
          <t>2_Заезд</t>
        </is>
      </c>
      <c r="B293" s="1" t="n">
        <v>12</v>
      </c>
      <c r="C293" s="1" t="inlineStr">
        <is>
          <t>Кухня</t>
        </is>
      </c>
      <c r="D293" s="1" t="inlineStr">
        <is>
          <t>Посуда, кухонная утварь, текстиль</t>
        </is>
      </c>
      <c r="E293" s="1" t="inlineStr">
        <is>
          <t>компл</t>
        </is>
      </c>
      <c r="F293" s="1" t="inlineStr">
        <is>
          <t>СРЕД</t>
        </is>
      </c>
      <c r="G293" s="1" t="inlineStr">
        <is>
          <t>Hoff сервиз Coupe 19 предметов на 6 персон + набор кастрюль + текстиль</t>
        </is>
      </c>
      <c r="H293" s="43" t="n"/>
      <c r="I293" s="43" t="n">
        <v>20000</v>
      </c>
      <c r="J293" s="44" t="n"/>
      <c r="K293" s="1" t="inlineStr">
        <is>
          <t>Hoff (Саратов, Happy Молл)</t>
        </is>
      </c>
      <c r="L293" s="1" t="inlineStr">
        <is>
          <t>Саратов</t>
        </is>
      </c>
      <c r="M293" s="45" t="inlineStr">
        <is>
          <t>https://hoff.ru/catalog/tovary_dlya_doma/posuda/prigotovlenie_pischi/nabory_posudy/</t>
        </is>
      </c>
      <c r="N293" s="1" t="inlineStr">
        <is>
          <t>не проверено</t>
        </is>
      </c>
      <c r="O293" s="1" t="inlineStr">
        <is>
          <t>2026-09-11</t>
        </is>
      </c>
      <c r="P293" s="47" t="inlineStr">
        <is>
          <t>уточнить</t>
        </is>
      </c>
      <c r="Q293" s="1" t="inlineStr">
        <is>
          <t>Цен в выдаче нет, сайт 401. Промо-раздел: https://hoff.ru/catalog/promo/kastryuli_i_nabory_posudy_so_skidkami/</t>
        </is>
      </c>
    </row>
    <row r="294">
      <c r="A294" s="1" t="inlineStr">
        <is>
          <t>2_Заезд</t>
        </is>
      </c>
      <c r="B294" s="1" t="n">
        <v>12</v>
      </c>
      <c r="C294" s="1" t="inlineStr">
        <is>
          <t>Кухня</t>
        </is>
      </c>
      <c r="D294" s="1" t="inlineStr">
        <is>
          <t>Посуда, кухонная утварь, текстиль</t>
        </is>
      </c>
      <c r="E294" s="1" t="inlineStr">
        <is>
          <t>компл</t>
        </is>
      </c>
      <c r="F294" s="1" t="inlineStr">
        <is>
          <t>МАКС</t>
        </is>
      </c>
      <c r="G294" s="1" t="inlineStr">
        <is>
          <t>Наборы посуды премиум (Fissler/Tefal Ingenio/фарфор) — сборный комплект</t>
        </is>
      </c>
      <c r="H294" s="43" t="n"/>
      <c r="I294" s="43" t="n">
        <v>50000</v>
      </c>
      <c r="J294" s="44" t="n"/>
      <c r="K294" s="1" t="inlineStr">
        <is>
          <t>Hoff / Ozon</t>
        </is>
      </c>
      <c r="L294" s="1" t="inlineStr">
        <is>
          <t>доставка в Саратов</t>
        </is>
      </c>
      <c r="M294" s="45" t="inlineStr">
        <is>
          <t>https://www.ozon.ru/category/nabor-kastryul-hoff/</t>
        </is>
      </c>
      <c r="N294" s="1" t="inlineStr">
        <is>
          <t>не проверено</t>
        </is>
      </c>
      <c r="O294" s="1" t="inlineStr">
        <is>
          <t>2026-09-11</t>
        </is>
      </c>
      <c r="P294" s="47" t="inlineStr">
        <is>
          <t>уточнить</t>
        </is>
      </c>
      <c r="Q294" s="1" t="inlineStr">
        <is>
          <t>Позиция сборная, без единой цены; проверять корзиной.</t>
        </is>
      </c>
    </row>
    <row r="295">
      <c r="A295" s="1" t="inlineStr">
        <is>
          <t>2_Заезд</t>
        </is>
      </c>
      <c r="B295" s="1" t="n">
        <v>12</v>
      </c>
      <c r="C295" s="1" t="inlineStr">
        <is>
          <t>Кухня</t>
        </is>
      </c>
      <c r="D295" s="1" t="inlineStr">
        <is>
          <t>Посуда, кухонная утварь, текстиль</t>
        </is>
      </c>
      <c r="E295" s="1" t="inlineStr">
        <is>
          <t>компл</t>
        </is>
      </c>
      <c r="F295" s="1" t="inlineStr">
        <is>
          <t>ВСЕ</t>
        </is>
      </c>
      <c r="G295" s="1" t="inlineStr">
        <is>
          <t>Авито Саратов — поиск «Посуда, кухонная утварь, текстиль» (новые товары магазинов и объявления)</t>
        </is>
      </c>
      <c r="H295" s="43" t="n"/>
      <c r="I295" s="43" t="n"/>
      <c r="J295" s="44" t="n"/>
      <c r="K295" s="1" t="inlineStr">
        <is>
          <t>Авито Саратов</t>
        </is>
      </c>
      <c r="L295" s="1" t="inlineStr">
        <is>
          <t>Саратов</t>
        </is>
      </c>
      <c r="M295" s="45" t="inlineStr">
        <is>
          <t>https://www.avito.ru/saratov?q=%D0%9F%D0%BE%D1%81%D1%83%D0%B4%D0%B0%2C%20%D0%BA%D1%83%D1%85%D0%BE%D0%BD%D0%BD%D0%B0%D1%8F%20%D1%83%D1%82%D0%B2%D0%B0%D1%80%D1%8C%2C%20%D1%82%D0%B5%D0%BA%D1%81%D1%82%D0%B8%D0%BB%D1%8C</t>
        </is>
      </c>
      <c r="N295" s="1" t="inlineStr">
        <is>
          <t>не проверено</t>
        </is>
      </c>
      <c r="O295" s="1" t="inlineStr">
        <is>
          <t>2026-09-11</t>
        </is>
      </c>
      <c r="P295" s="47" t="inlineStr">
        <is>
          <t>уточнить</t>
        </is>
      </c>
      <c r="Q29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296">
      <c r="A296" s="1" t="inlineStr">
        <is>
          <t>2_Заезд</t>
        </is>
      </c>
      <c r="B296" s="1" t="n">
        <v>13</v>
      </c>
      <c r="C296" s="1" t="inlineStr">
        <is>
          <t>Спальня</t>
        </is>
      </c>
      <c r="D296" s="1" t="inlineStr">
        <is>
          <t>Кровать 160×200 с основанием</t>
        </is>
      </c>
      <c r="E296" s="1" t="inlineStr">
        <is>
          <t>шт</t>
        </is>
      </c>
      <c r="F296" s="1" t="inlineStr">
        <is>
          <t>МИН</t>
        </is>
      </c>
      <c r="G296" s="1" t="inlineStr">
        <is>
          <t>Hoff Кровать Морис 160×200 см (без ПМ, с основанием)</t>
        </is>
      </c>
      <c r="H296" s="43" t="n">
        <v>22399</v>
      </c>
      <c r="I296" s="43" t="n">
        <v>15000</v>
      </c>
      <c r="J296" s="48" t="n">
        <v>49.3</v>
      </c>
      <c r="K296" s="1" t="inlineStr">
        <is>
          <t>Hoff Саратов (Happy Молл, Вольский тракт 2)</t>
        </is>
      </c>
      <c r="L296" s="1" t="inlineStr">
        <is>
          <t>Саратов</t>
        </is>
      </c>
      <c r="M296" s="45" t="inlineStr">
        <is>
          <t>https://hoff.ru/catalog/spalnya/krovati/krovati_bez_podemnogo_mehanizma/krovat_moris_id10653557/?articul=80677628</t>
        </is>
      </c>
      <c r="N296" s="1" t="inlineStr">
        <is>
          <t>сниппет</t>
        </is>
      </c>
      <c r="O296" s="1" t="inlineStr">
        <is>
          <t>2026-09-11</t>
        </is>
      </c>
      <c r="P296" s="46" t="inlineStr">
        <is>
          <t>ок</t>
        </is>
      </c>
      <c r="Q296" s="1" t="inlineStr">
        <is>
          <t>hoff.ru блокирует WebFetch (401), цена из заголовка сниппета. Дешевле: Hoff Гармония с ящиками ЛДСП 160×200 (URL есть, цена на Hoff не видна; у Мебельвиа та же модель 11 360 ₽); Аскона Pronto Pro 14 899 ₽ (страница)</t>
        </is>
      </c>
    </row>
    <row r="297">
      <c r="A297" s="1" t="inlineStr">
        <is>
          <t>2_Заезд</t>
        </is>
      </c>
      <c r="B297" s="1" t="n">
        <v>13</v>
      </c>
      <c r="C297" s="1" t="inlineStr">
        <is>
          <t>Спальня</t>
        </is>
      </c>
      <c r="D297" s="1" t="inlineStr">
        <is>
          <t>Кровать 160×200 с основанием</t>
        </is>
      </c>
      <c r="E297" s="1" t="inlineStr">
        <is>
          <t>шт</t>
        </is>
      </c>
      <c r="F297" s="1" t="inlineStr">
        <is>
          <t>СРЕД</t>
        </is>
      </c>
      <c r="G297" s="1" t="inlineStr">
        <is>
          <t>Аскона Innovo Ice 160×200 (ПМ + мягкое изголовье)</t>
        </is>
      </c>
      <c r="H297" s="43" t="n">
        <v>32999</v>
      </c>
      <c r="I297" s="43" t="n">
        <v>40000</v>
      </c>
      <c r="J297" s="44" t="n">
        <v>-17.5</v>
      </c>
      <c r="K297" s="1" t="inlineStr">
        <is>
          <t>Аскона (askona.ru)</t>
        </is>
      </c>
      <c r="L297" s="1" t="inlineStr">
        <is>
          <t>Саратов</t>
        </is>
      </c>
      <c r="M297" s="45" t="inlineStr">
        <is>
          <t>https://www.askona.ru/krovati/160x200/</t>
        </is>
      </c>
      <c r="N297" s="1" t="inlineStr">
        <is>
          <t>страница</t>
        </is>
      </c>
      <c r="O297" s="1" t="inlineStr">
        <is>
          <t>2026-09-11</t>
        </is>
      </c>
      <c r="P297" s="46" t="inlineStr">
        <is>
          <t>ок</t>
        </is>
      </c>
      <c r="Q297" s="1" t="inlineStr">
        <is>
          <t>Каталог askona.ru открылся полностью. Самая дешёвая с ПМ — Ralto 22 299 ₽; Nolan с ПМ 31 099 ₽</t>
        </is>
      </c>
    </row>
    <row r="298">
      <c r="A298" s="1" t="inlineStr">
        <is>
          <t>2_Заезд</t>
        </is>
      </c>
      <c r="B298" s="1" t="n">
        <v>13</v>
      </c>
      <c r="C298" s="1" t="inlineStr">
        <is>
          <t>Спальня</t>
        </is>
      </c>
      <c r="D298" s="1" t="inlineStr">
        <is>
          <t>Кровать 160×200 с основанием</t>
        </is>
      </c>
      <c r="E298" s="1" t="inlineStr">
        <is>
          <t>шт</t>
        </is>
      </c>
      <c r="F298" s="1" t="inlineStr">
        <is>
          <t>МАКС</t>
        </is>
      </c>
      <c r="G298" s="1" t="inlineStr">
        <is>
          <t>Аскона Treyci 160×200 (премиум, мягкое изголовье)</t>
        </is>
      </c>
      <c r="H298" s="43" t="n">
        <v>62399</v>
      </c>
      <c r="I298" s="43" t="n">
        <v>120000</v>
      </c>
      <c r="J298" s="48" t="n">
        <v>-48</v>
      </c>
      <c r="K298" s="1" t="inlineStr">
        <is>
          <t>Аскона (askona.ru)</t>
        </is>
      </c>
      <c r="L298" s="1" t="inlineStr">
        <is>
          <t>Саратов</t>
        </is>
      </c>
      <c r="M298" s="45" t="inlineStr">
        <is>
          <t>https://www.askona.ru/krovati/160x200/</t>
        </is>
      </c>
      <c r="N298" s="1" t="inlineStr">
        <is>
          <t>страница</t>
        </is>
      </c>
      <c r="O298" s="1" t="inlineStr">
        <is>
          <t>2026-09-11</t>
        </is>
      </c>
      <c r="P298" s="46" t="inlineStr">
        <is>
          <t>ок</t>
        </is>
      </c>
      <c r="Q298" s="1" t="inlineStr">
        <is>
          <t>Самая дорогая в каталоге 160×200 Аскона. Массив дуба: «Сара» 107 801 ₽ (homewooden.ru, сниппет), «Джудит» 37 550 ₽ (tiu.ru, сниппет) — доставка</t>
        </is>
      </c>
    </row>
    <row r="299">
      <c r="A299" s="1" t="inlineStr">
        <is>
          <t>2_Заезд</t>
        </is>
      </c>
      <c r="B299" s="1" t="n">
        <v>13</v>
      </c>
      <c r="C299" s="1" t="inlineStr">
        <is>
          <t>Спальня</t>
        </is>
      </c>
      <c r="D299" s="1" t="inlineStr">
        <is>
          <t>Кровать 160×200 с основанием</t>
        </is>
      </c>
      <c r="E299" s="1" t="inlineStr">
        <is>
          <t>шт</t>
        </is>
      </c>
      <c r="F299" s="1" t="inlineStr">
        <is>
          <t>ВСЕ</t>
        </is>
      </c>
      <c r="G299" s="1" t="inlineStr">
        <is>
          <t>Авито Саратов — поиск «Кровать 160×200 с основанием» (новые товары магазинов и объявления)</t>
        </is>
      </c>
      <c r="H299" s="43" t="n"/>
      <c r="I299" s="43" t="n"/>
      <c r="J299" s="44" t="n"/>
      <c r="K299" s="1" t="inlineStr">
        <is>
          <t>Авито Саратов</t>
        </is>
      </c>
      <c r="L299" s="1" t="inlineStr">
        <is>
          <t>Саратов</t>
        </is>
      </c>
      <c r="M299" s="45" t="inlineStr">
        <is>
          <t>https://www.avito.ru/saratov?q=%D0%9A%D1%80%D0%BE%D0%B2%D0%B0%D1%82%D1%8C%20160%C3%97200%20%D1%81%20%D0%BE%D1%81%D0%BD%D0%BE%D0%B2%D0%B0%D0%BD%D0%B8%D0%B5%D0%BC</t>
        </is>
      </c>
      <c r="N299" s="1" t="inlineStr">
        <is>
          <t>не проверено</t>
        </is>
      </c>
      <c r="O299" s="1" t="inlineStr">
        <is>
          <t>2026-09-11</t>
        </is>
      </c>
      <c r="P299" s="47" t="inlineStr">
        <is>
          <t>уточнить</t>
        </is>
      </c>
      <c r="Q29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00">
      <c r="A300" s="1" t="inlineStr">
        <is>
          <t>2_Заезд</t>
        </is>
      </c>
      <c r="B300" s="1" t="n">
        <v>14</v>
      </c>
      <c r="C300" s="1" t="inlineStr">
        <is>
          <t>Спальня</t>
        </is>
      </c>
      <c r="D300" s="1" t="inlineStr">
        <is>
          <t>Матрас 160×200</t>
        </is>
      </c>
      <c r="E300" s="1" t="inlineStr">
        <is>
          <t>шт</t>
        </is>
      </c>
      <c r="F300" s="1" t="inlineStr">
        <is>
          <t>МИН</t>
        </is>
      </c>
      <c r="G300" s="1" t="inlineStr">
        <is>
          <t>Аскона Comfort Plus 160×200 (независимые пружины, акция −50%)</t>
        </is>
      </c>
      <c r="H300" s="43" t="n">
        <v>12599</v>
      </c>
      <c r="I300" s="43" t="n">
        <v>12000</v>
      </c>
      <c r="J300" s="44" t="n">
        <v>5</v>
      </c>
      <c r="K300" s="1" t="inlineStr">
        <is>
          <t>Аскона (askona.ru)</t>
        </is>
      </c>
      <c r="L300" s="1" t="inlineStr">
        <is>
          <t>Саратов</t>
        </is>
      </c>
      <c r="M300" s="45" t="inlineStr">
        <is>
          <t>https://www.askona.ru/matrasy/nezavisimyi-blok/160x200/</t>
        </is>
      </c>
      <c r="N300" s="1" t="inlineStr">
        <is>
          <t>страница</t>
        </is>
      </c>
      <c r="O300" s="1" t="inlineStr">
        <is>
          <t>2026-09-11</t>
        </is>
      </c>
      <c r="P300" s="46" t="inlineStr">
        <is>
          <t>ок</t>
        </is>
      </c>
      <c r="Q300" s="1" t="inlineStr">
        <is>
          <t>Цена акционная (−50%)</t>
        </is>
      </c>
    </row>
    <row r="301">
      <c r="A301" s="1" t="inlineStr">
        <is>
          <t>2_Заезд</t>
        </is>
      </c>
      <c r="B301" s="1" t="n">
        <v>14</v>
      </c>
      <c r="C301" s="1" t="inlineStr">
        <is>
          <t>Спальня</t>
        </is>
      </c>
      <c r="D301" s="1" t="inlineStr">
        <is>
          <t>Матрас 160×200</t>
        </is>
      </c>
      <c r="E301" s="1" t="inlineStr">
        <is>
          <t>шт</t>
        </is>
      </c>
      <c r="F301" s="1" t="inlineStr">
        <is>
          <t>СРЕД</t>
        </is>
      </c>
      <c r="G301" s="1" t="inlineStr">
        <is>
          <t>Аскона Flash 160×200 (независимые пружины)</t>
        </is>
      </c>
      <c r="H301" s="43" t="n">
        <v>21099</v>
      </c>
      <c r="I301" s="43" t="n">
        <v>30000</v>
      </c>
      <c r="J301" s="44" t="n">
        <v>-29.7</v>
      </c>
      <c r="K301" s="1" t="inlineStr">
        <is>
          <t>Аскона (askona.ru)</t>
        </is>
      </c>
      <c r="L301" s="1" t="inlineStr">
        <is>
          <t>Саратов</t>
        </is>
      </c>
      <c r="M301" s="45" t="inlineStr">
        <is>
          <t>https://www.askona.ru/matrasy/nezavisimyi-blok/160x200/</t>
        </is>
      </c>
      <c r="N301" s="1" t="inlineStr">
        <is>
          <t>страница</t>
        </is>
      </c>
      <c r="O301" s="1" t="inlineStr">
        <is>
          <t>2026-09-11</t>
        </is>
      </c>
      <c r="P301" s="46" t="inlineStr">
        <is>
          <t>ок</t>
        </is>
      </c>
      <c r="Q301" s="1" t="inlineStr">
        <is>
          <t>Ближе к смете: Family Mild 42 899 ₽ / Фэмили Интенсив 45 699 ₽; Basic Optima Hard 21 499 ₽</t>
        </is>
      </c>
    </row>
    <row r="302">
      <c r="A302" s="1" t="inlineStr">
        <is>
          <t>2_Заезд</t>
        </is>
      </c>
      <c r="B302" s="1" t="n">
        <v>14</v>
      </c>
      <c r="C302" s="1" t="inlineStr">
        <is>
          <t>Спальня</t>
        </is>
      </c>
      <c r="D302" s="1" t="inlineStr">
        <is>
          <t>Матрас 160×200</t>
        </is>
      </c>
      <c r="E302" s="1" t="inlineStr">
        <is>
          <t>шт</t>
        </is>
      </c>
      <c r="F302" s="1" t="inlineStr">
        <is>
          <t>МАКС</t>
        </is>
      </c>
      <c r="G302" s="1" t="inlineStr">
        <is>
          <t>Аскона Grether&amp;Wells Regal 160×200 (премиум)</t>
        </is>
      </c>
      <c r="H302" s="43" t="n">
        <v>89799</v>
      </c>
      <c r="I302" s="43" t="n">
        <v>80000</v>
      </c>
      <c r="J302" s="44" t="n">
        <v>12.2</v>
      </c>
      <c r="K302" s="1" t="inlineStr">
        <is>
          <t>Аскона (askona.ru)</t>
        </is>
      </c>
      <c r="L302" s="1" t="inlineStr">
        <is>
          <t>Саратов</t>
        </is>
      </c>
      <c r="M302" s="45" t="inlineStr">
        <is>
          <t>https://www.askona.ru/matrasy/nezavisimyi-blok/160x200/</t>
        </is>
      </c>
      <c r="N302" s="1" t="inlineStr">
        <is>
          <t>страница</t>
        </is>
      </c>
      <c r="O302" s="1" t="inlineStr">
        <is>
          <t>2026-09-11</t>
        </is>
      </c>
      <c r="P302" s="46" t="inlineStr">
        <is>
          <t>ок</t>
        </is>
      </c>
      <c r="Q302" s="1" t="inlineStr">
        <is>
          <t>Самый дорогой в разделе</t>
        </is>
      </c>
    </row>
    <row r="303">
      <c r="A303" s="1" t="inlineStr">
        <is>
          <t>2_Заезд</t>
        </is>
      </c>
      <c r="B303" s="1" t="n">
        <v>14</v>
      </c>
      <c r="C303" s="1" t="inlineStr">
        <is>
          <t>Спальня</t>
        </is>
      </c>
      <c r="D303" s="1" t="inlineStr">
        <is>
          <t>Матрас 160×200</t>
        </is>
      </c>
      <c r="E303" s="1" t="inlineStr">
        <is>
          <t>шт</t>
        </is>
      </c>
      <c r="F303" s="1" t="inlineStr">
        <is>
          <t>ВСЕ</t>
        </is>
      </c>
      <c r="G303" s="1" t="inlineStr">
        <is>
          <t>Авито Саратов — поиск «Матрас 160×200» (новые товары магазинов и объявления)</t>
        </is>
      </c>
      <c r="H303" s="43" t="n"/>
      <c r="I303" s="43" t="n"/>
      <c r="J303" s="44" t="n"/>
      <c r="K303" s="1" t="inlineStr">
        <is>
          <t>Авито Саратов</t>
        </is>
      </c>
      <c r="L303" s="1" t="inlineStr">
        <is>
          <t>Саратов</t>
        </is>
      </c>
      <c r="M303" s="45" t="inlineStr">
        <is>
          <t>https://www.avito.ru/saratov?q=%D0%9C%D0%B0%D1%82%D1%80%D0%B0%D1%81%20160%C3%97200</t>
        </is>
      </c>
      <c r="N303" s="1" t="inlineStr">
        <is>
          <t>не проверено</t>
        </is>
      </c>
      <c r="O303" s="1" t="inlineStr">
        <is>
          <t>2026-09-11</t>
        </is>
      </c>
      <c r="P303" s="47" t="inlineStr">
        <is>
          <t>уточнить</t>
        </is>
      </c>
      <c r="Q30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04">
      <c r="A304" s="1" t="inlineStr">
        <is>
          <t>2_Заезд</t>
        </is>
      </c>
      <c r="B304" s="1" t="n">
        <v>15</v>
      </c>
      <c r="C304" s="1" t="inlineStr">
        <is>
          <t>Спальня</t>
        </is>
      </c>
      <c r="D304" s="1" t="inlineStr">
        <is>
          <t>Шкаф для одежды</t>
        </is>
      </c>
      <c r="E304" s="1" t="inlineStr">
        <is>
          <t>шт</t>
        </is>
      </c>
      <c r="F304" s="1" t="inlineStr">
        <is>
          <t>МИН</t>
        </is>
      </c>
      <c r="G304" s="1" t="inlineStr">
        <is>
          <t>Hoff Шкаф распашной Вива (ЛДСП)</t>
        </is>
      </c>
      <c r="H304" s="43" t="n">
        <v>16999</v>
      </c>
      <c r="I304" s="43" t="n">
        <v>20000</v>
      </c>
      <c r="J304" s="44" t="n">
        <v>-15</v>
      </c>
      <c r="K304" s="1" t="inlineStr">
        <is>
          <t>Hoff Саратов (Happy Молл, Вольский тракт 2)</t>
        </is>
      </c>
      <c r="L304" s="1" t="inlineStr">
        <is>
          <t>Саратов</t>
        </is>
      </c>
      <c r="M304" s="45" t="inlineStr">
        <is>
          <t>https://hoff.ru/catalog/spalnya/shkafy_dlya_spalni/shkafy_raspashnye/shkaf_raspashnoy_viva_id10351125/?articul=80639084</t>
        </is>
      </c>
      <c r="N304" s="1" t="inlineStr">
        <is>
          <t>сниппет</t>
        </is>
      </c>
      <c r="O304" s="1" t="inlineStr">
        <is>
          <t>2026-09-11</t>
        </is>
      </c>
      <c r="P304" s="46" t="inlineStr">
        <is>
          <t>ок</t>
        </is>
      </c>
      <c r="Q304" s="1" t="inlineStr">
        <is>
          <t>Цена из заголовка сниппета hoff.ru; ширину 200 см и высоту до потолка проверить на странице</t>
        </is>
      </c>
    </row>
    <row r="305">
      <c r="A305" s="1" t="inlineStr">
        <is>
          <t>2_Заезд</t>
        </is>
      </c>
      <c r="B305" s="1" t="n">
        <v>15</v>
      </c>
      <c r="C305" s="1" t="inlineStr">
        <is>
          <t>Спальня</t>
        </is>
      </c>
      <c r="D305" s="1" t="inlineStr">
        <is>
          <t>Шкаф для одежды</t>
        </is>
      </c>
      <c r="E305" s="1" t="inlineStr">
        <is>
          <t>шт</t>
        </is>
      </c>
      <c r="F305" s="1" t="inlineStr">
        <is>
          <t>СРЕД</t>
        </is>
      </c>
      <c r="G305" s="1" t="inlineStr">
        <is>
          <t>Hoff Шкаф-купе Home (2 м)</t>
        </is>
      </c>
      <c r="H305" s="43" t="n">
        <v>32999</v>
      </c>
      <c r="I305" s="43" t="n">
        <v>60000</v>
      </c>
      <c r="J305" s="48" t="n">
        <v>-45</v>
      </c>
      <c r="K305" s="1" t="inlineStr">
        <is>
          <t>Hoff Саратов (Happy Молл, Вольский тракт 2)</t>
        </is>
      </c>
      <c r="L305" s="1" t="inlineStr">
        <is>
          <t>Саратов</t>
        </is>
      </c>
      <c r="M305" s="45" t="inlineStr">
        <is>
          <t>https://hoff.ru/catalog/spalnya/shkafy_dlya_spalni/shkafy_kupe/shkaf_kupe_home_id9820355/?articul=80607195</t>
        </is>
      </c>
      <c r="N305" s="1" t="inlineStr">
        <is>
          <t>сниппет</t>
        </is>
      </c>
      <c r="O305" s="1" t="inlineStr">
        <is>
          <t>2026-09-11</t>
        </is>
      </c>
      <c r="P305" s="46" t="inlineStr">
        <is>
          <t>ок</t>
        </is>
      </c>
      <c r="Q305" s="1" t="inlineStr">
        <is>
          <t>Также Шкаф-купе Крафт 25 999 ₽ (сниппет); Home Стандарт 200 см — URL есть, цена не видна</t>
        </is>
      </c>
    </row>
    <row r="306">
      <c r="A306" s="1" t="inlineStr">
        <is>
          <t>2_Заезд</t>
        </is>
      </c>
      <c r="B306" s="1" t="n">
        <v>15</v>
      </c>
      <c r="C306" s="1" t="inlineStr">
        <is>
          <t>Спальня</t>
        </is>
      </c>
      <c r="D306" s="1" t="inlineStr">
        <is>
          <t>Шкаф для одежды</t>
        </is>
      </c>
      <c r="E306" s="1" t="inlineStr">
        <is>
          <t>шт</t>
        </is>
      </c>
      <c r="F306" s="1" t="inlineStr">
        <is>
          <t>МАКС</t>
        </is>
      </c>
      <c r="G306" s="1" t="inlineStr">
        <is>
          <t>MebelStaf Саратов — встроенный шкаф на заказ, от 33 500 ₽/пог.м (проект 2100×2600) → ≈67 000 ₽ за 2 м</t>
        </is>
      </c>
      <c r="H306" s="43" t="n">
        <v>67000</v>
      </c>
      <c r="I306" s="43" t="n">
        <v>180000</v>
      </c>
      <c r="J306" s="48" t="n">
        <v>-62.8</v>
      </c>
      <c r="K306" s="1" t="inlineStr">
        <is>
          <t>MebelStaf Саратов (saratov.shkafy-moskva.ru)</t>
        </is>
      </c>
      <c r="L306" s="1" t="inlineStr">
        <is>
          <t>Саратов</t>
        </is>
      </c>
      <c r="M306" s="45" t="inlineStr">
        <is>
          <t>https://saratov.shkafy-moskva.ru/tcat/p-obraznye-shkafy/</t>
        </is>
      </c>
      <c r="N306" s="1" t="inlineStr">
        <is>
          <t>страница</t>
        </is>
      </c>
      <c r="O306" s="1" t="inlineStr">
        <is>
          <t>2026-09-11</t>
        </is>
      </c>
      <c r="P306" s="47" t="inlineStr">
        <is>
          <t>уточнить</t>
        </is>
      </c>
      <c r="Q306" s="1" t="inlineStr">
        <is>
          <t>Расчёт: 2 пог.м × 33 500 ₽/пог.м (ставка видна на странице, итог — арифметика). Другие проекты 30 500–33 000 ₽/пог.м; ЛДСП-купе в Саратове от 24 470 ₽/пог.м (сниппет). До потолка/МДФ-эмаль — дороже, нужен замер</t>
        </is>
      </c>
    </row>
    <row r="307">
      <c r="A307" s="1" t="inlineStr">
        <is>
          <t>2_Заезд</t>
        </is>
      </c>
      <c r="B307" s="1" t="n">
        <v>15</v>
      </c>
      <c r="C307" s="1" t="inlineStr">
        <is>
          <t>Спальня</t>
        </is>
      </c>
      <c r="D307" s="1" t="inlineStr">
        <is>
          <t>Шкаф для одежды</t>
        </is>
      </c>
      <c r="E307" s="1" t="inlineStr">
        <is>
          <t>шт</t>
        </is>
      </c>
      <c r="F307" s="1" t="inlineStr">
        <is>
          <t>ВСЕ</t>
        </is>
      </c>
      <c r="G307" s="1" t="inlineStr">
        <is>
          <t>Авито Саратов — поиск «Шкаф для одежды» (новые товары магазинов и объявления)</t>
        </is>
      </c>
      <c r="H307" s="43" t="n"/>
      <c r="I307" s="43" t="n"/>
      <c r="J307" s="44" t="n"/>
      <c r="K307" s="1" t="inlineStr">
        <is>
          <t>Авито Саратов</t>
        </is>
      </c>
      <c r="L307" s="1" t="inlineStr">
        <is>
          <t>Саратов</t>
        </is>
      </c>
      <c r="M307" s="45" t="inlineStr">
        <is>
          <t>https://www.avito.ru/saratov?q=%D0%A8%D0%BA%D0%B0%D1%84%20%D0%B4%D0%BB%D1%8F%20%D0%BE%D0%B4%D0%B5%D0%B6%D0%B4%D1%8B</t>
        </is>
      </c>
      <c r="N307" s="1" t="inlineStr">
        <is>
          <t>не проверено</t>
        </is>
      </c>
      <c r="O307" s="1" t="inlineStr">
        <is>
          <t>2026-09-11</t>
        </is>
      </c>
      <c r="P307" s="47" t="inlineStr">
        <is>
          <t>уточнить</t>
        </is>
      </c>
      <c r="Q30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08">
      <c r="A308" s="1" t="inlineStr">
        <is>
          <t>2_Заезд</t>
        </is>
      </c>
      <c r="B308" s="1" t="n">
        <v>16</v>
      </c>
      <c r="C308" s="1" t="inlineStr">
        <is>
          <t>Спальня</t>
        </is>
      </c>
      <c r="D308" s="1" t="inlineStr">
        <is>
          <t>Прикроватные тумбы</t>
        </is>
      </c>
      <c r="E308" s="1" t="inlineStr">
        <is>
          <t>шт</t>
        </is>
      </c>
      <c r="F308" s="1" t="inlineStr">
        <is>
          <t>МИН</t>
        </is>
      </c>
      <c r="G308" s="1" t="inlineStr">
        <is>
          <t>Hoff Тумба прикроватная Бланка</t>
        </is>
      </c>
      <c r="H308" s="43" t="n">
        <v>3399</v>
      </c>
      <c r="I308" s="43" t="n">
        <v>3000</v>
      </c>
      <c r="J308" s="44" t="n">
        <v>13.3</v>
      </c>
      <c r="K308" s="1" t="inlineStr">
        <is>
          <t>Hoff Саратов (Happy Молл, Вольский тракт 2)</t>
        </is>
      </c>
      <c r="L308" s="1" t="inlineStr">
        <is>
          <t>Саратов</t>
        </is>
      </c>
      <c r="M308" s="45" t="inlineStr">
        <is>
          <t>https://hoff.ru/catalog/spalnya/tumby_i_komody/tumby/tumba_prikrovatnaya_blanka_id1654372/?articul=80294328</t>
        </is>
      </c>
      <c r="N308" s="1" t="inlineStr">
        <is>
          <t>сниппет</t>
        </is>
      </c>
      <c r="O308" s="1" t="inlineStr">
        <is>
          <t>2026-09-11</t>
        </is>
      </c>
      <c r="P308" s="46" t="inlineStr">
        <is>
          <t>ок</t>
        </is>
      </c>
      <c r="Q308" s="1" t="inlineStr">
        <is>
          <t>Цена за 1 шт (в смете 2 шт). Ещё дешевле: Вест 2 999 ₽ (сниппет)</t>
        </is>
      </c>
    </row>
    <row r="309">
      <c r="A309" s="1" t="inlineStr">
        <is>
          <t>2_Заезд</t>
        </is>
      </c>
      <c r="B309" s="1" t="n">
        <v>16</v>
      </c>
      <c r="C309" s="1" t="inlineStr">
        <is>
          <t>Спальня</t>
        </is>
      </c>
      <c r="D309" s="1" t="inlineStr">
        <is>
          <t>Прикроватные тумбы</t>
        </is>
      </c>
      <c r="E309" s="1" t="inlineStr">
        <is>
          <t>шт</t>
        </is>
      </c>
      <c r="F309" s="1" t="inlineStr">
        <is>
          <t>СРЕД</t>
        </is>
      </c>
      <c r="G309" s="1" t="inlineStr">
        <is>
          <t>Hoff Тумба прикроватная Хилтон (−19%)</t>
        </is>
      </c>
      <c r="H309" s="43" t="n">
        <v>4699</v>
      </c>
      <c r="I309" s="43" t="n">
        <v>8000</v>
      </c>
      <c r="J309" s="48" t="n">
        <v>-41.3</v>
      </c>
      <c r="K309" s="1" t="inlineStr">
        <is>
          <t>Hoff Саратов (Happy Молл, Вольский тракт 2)</t>
        </is>
      </c>
      <c r="L309" s="1" t="inlineStr">
        <is>
          <t>Саратов</t>
        </is>
      </c>
      <c r="M309" s="45" t="inlineStr">
        <is>
          <t>https://hoff.ru/catalog/spalnya/tumby_i_komody/tumby/tumba_prikrovatnaya_khilton_id8615703/?articul=80527840</t>
        </is>
      </c>
      <c r="N309" s="1" t="inlineStr">
        <is>
          <t>сниппет</t>
        </is>
      </c>
      <c r="O309" s="1" t="inlineStr">
        <is>
          <t>2026-09-11</t>
        </is>
      </c>
      <c r="P309" s="46" t="inlineStr">
        <is>
          <t>ок</t>
        </is>
      </c>
      <c r="Q309" s="1" t="inlineStr">
        <is>
          <t>Цена за 1 шт. Аскона Neva 13 124 ₽ (сниппет askona.ru) — промежуточный вариант</t>
        </is>
      </c>
    </row>
    <row r="310">
      <c r="A310" s="1" t="inlineStr">
        <is>
          <t>2_Заезд</t>
        </is>
      </c>
      <c r="B310" s="1" t="n">
        <v>16</v>
      </c>
      <c r="C310" s="1" t="inlineStr">
        <is>
          <t>Спальня</t>
        </is>
      </c>
      <c r="D310" s="1" t="inlineStr">
        <is>
          <t>Прикроватные тумбы</t>
        </is>
      </c>
      <c r="E310" s="1" t="inlineStr">
        <is>
          <t>шт</t>
        </is>
      </c>
      <c r="F310" s="1" t="inlineStr">
        <is>
          <t>МАКС</t>
        </is>
      </c>
      <c r="G310" s="1" t="inlineStr">
        <is>
          <t>Loft-Concept Тумба прикроватная из массива дуба Type oak</t>
        </is>
      </c>
      <c r="H310" s="43" t="n">
        <v>54900</v>
      </c>
      <c r="I310" s="43" t="n">
        <v>25000</v>
      </c>
      <c r="J310" s="48" t="n">
        <v>119.6</v>
      </c>
      <c r="K310" s="1" t="inlineStr">
        <is>
          <t>Loft-Concept (loft-concept.ru)</t>
        </is>
      </c>
      <c r="L310" s="1" t="inlineStr">
        <is>
          <t>доставка в Саратов</t>
        </is>
      </c>
      <c r="M310" s="45" t="inlineStr">
        <is>
          <t>https://loft-concept.ru/catalog/product/tumba-prikrovatnaya-s-vydvizhnym-yashchikom-iz-massiva-duba-type-oak/</t>
        </is>
      </c>
      <c r="N310" s="1" t="inlineStr">
        <is>
          <t>сниппет</t>
        </is>
      </c>
      <c r="O310" s="1" t="inlineStr">
        <is>
          <t>2026-09-11</t>
        </is>
      </c>
      <c r="P310" s="46" t="inlineStr">
        <is>
          <t>ок</t>
        </is>
      </c>
      <c r="Q310" s="1" t="inlineStr">
        <is>
          <t>Цена за 1 шт. Массив дуба от 11 421 ₽ (inmyroom, сниппет); Аскона Neva 13 124 ₽</t>
        </is>
      </c>
    </row>
    <row r="311">
      <c r="A311" s="1" t="inlineStr">
        <is>
          <t>2_Заезд</t>
        </is>
      </c>
      <c r="B311" s="1" t="n">
        <v>16</v>
      </c>
      <c r="C311" s="1" t="inlineStr">
        <is>
          <t>Спальня</t>
        </is>
      </c>
      <c r="D311" s="1" t="inlineStr">
        <is>
          <t>Прикроватные тумбы</t>
        </is>
      </c>
      <c r="E311" s="1" t="inlineStr">
        <is>
          <t>шт</t>
        </is>
      </c>
      <c r="F311" s="1" t="inlineStr">
        <is>
          <t>ВСЕ</t>
        </is>
      </c>
      <c r="G311" s="1" t="inlineStr">
        <is>
          <t>Авито Саратов — поиск «Прикроватные тумбы» (новые товары магазинов и объявления)</t>
        </is>
      </c>
      <c r="H311" s="43" t="n"/>
      <c r="I311" s="43" t="n"/>
      <c r="J311" s="44" t="n"/>
      <c r="K311" s="1" t="inlineStr">
        <is>
          <t>Авито Саратов</t>
        </is>
      </c>
      <c r="L311" s="1" t="inlineStr">
        <is>
          <t>Саратов</t>
        </is>
      </c>
      <c r="M311" s="45" t="inlineStr">
        <is>
          <t>https://www.avito.ru/saratov?q=%D0%9F%D1%80%D0%B8%D0%BA%D1%80%D0%BE%D0%B2%D0%B0%D1%82%D0%BD%D1%8B%D0%B5%20%D1%82%D1%83%D0%BC%D0%B1%D1%8B</t>
        </is>
      </c>
      <c r="N311" s="1" t="inlineStr">
        <is>
          <t>не проверено</t>
        </is>
      </c>
      <c r="O311" s="1" t="inlineStr">
        <is>
          <t>2026-09-11</t>
        </is>
      </c>
      <c r="P311" s="47" t="inlineStr">
        <is>
          <t>уточнить</t>
        </is>
      </c>
      <c r="Q31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12">
      <c r="A312" s="1" t="inlineStr">
        <is>
          <t>2_Заезд</t>
        </is>
      </c>
      <c r="B312" s="1" t="n">
        <v>17</v>
      </c>
      <c r="C312" s="1" t="inlineStr">
        <is>
          <t>Спальня</t>
        </is>
      </c>
      <c r="D312" s="1" t="inlineStr">
        <is>
          <t>Комод</t>
        </is>
      </c>
      <c r="E312" s="1" t="inlineStr">
        <is>
          <t>шт</t>
        </is>
      </c>
      <c r="F312" s="1" t="inlineStr">
        <is>
          <t>МИН</t>
        </is>
      </c>
      <c r="G312" s="1" t="inlineStr">
        <is>
          <t>Hoff Комод Вест</t>
        </is>
      </c>
      <c r="H312" s="43" t="n">
        <v>7599</v>
      </c>
      <c r="I312" s="43" t="n">
        <v>8000</v>
      </c>
      <c r="J312" s="44" t="n">
        <v>-5</v>
      </c>
      <c r="K312" s="1" t="inlineStr">
        <is>
          <t>Hoff Саратов (Happy Молл, Вольский тракт 2)</t>
        </is>
      </c>
      <c r="L312" s="1" t="inlineStr">
        <is>
          <t>Саратов</t>
        </is>
      </c>
      <c r="M312" s="45" t="inlineStr">
        <is>
          <t>https://hoff.ru/catalog/promo/komody/</t>
        </is>
      </c>
      <c r="N312" s="1" t="inlineStr">
        <is>
          <t>сниппет</t>
        </is>
      </c>
      <c r="O312" s="1" t="inlineStr">
        <is>
          <t>2026-09-11</t>
        </is>
      </c>
      <c r="P312" s="46" t="inlineStr">
        <is>
          <t>ок</t>
        </is>
      </c>
      <c r="Q312" s="1" t="inlineStr">
        <is>
          <t>Цена из сниппета каталога, прямой URL модели не найден</t>
        </is>
      </c>
    </row>
    <row r="313">
      <c r="A313" s="1" t="inlineStr">
        <is>
          <t>2_Заезд</t>
        </is>
      </c>
      <c r="B313" s="1" t="n">
        <v>17</v>
      </c>
      <c r="C313" s="1" t="inlineStr">
        <is>
          <t>Спальня</t>
        </is>
      </c>
      <c r="D313" s="1" t="inlineStr">
        <is>
          <t>Комод</t>
        </is>
      </c>
      <c r="E313" s="1" t="inlineStr">
        <is>
          <t>шт</t>
        </is>
      </c>
      <c r="F313" s="1" t="inlineStr">
        <is>
          <t>СРЕД</t>
        </is>
      </c>
      <c r="G313" s="1" t="inlineStr">
        <is>
          <t>Hoff Комод Валенсия</t>
        </is>
      </c>
      <c r="H313" s="43" t="n">
        <v>17999</v>
      </c>
      <c r="I313" s="43" t="n">
        <v>20000</v>
      </c>
      <c r="J313" s="44" t="n">
        <v>-10</v>
      </c>
      <c r="K313" s="1" t="inlineStr">
        <is>
          <t>Hoff Саратов (Happy Молл, Вольский тракт 2)</t>
        </is>
      </c>
      <c r="L313" s="1" t="inlineStr">
        <is>
          <t>Саратов</t>
        </is>
      </c>
      <c r="M313" s="45" t="inlineStr">
        <is>
          <t>https://hoff.ru/catalog/promo/komody/</t>
        </is>
      </c>
      <c r="N313" s="1" t="inlineStr">
        <is>
          <t>сниппет</t>
        </is>
      </c>
      <c r="O313" s="1" t="inlineStr">
        <is>
          <t>2026-09-11</t>
        </is>
      </c>
      <c r="P313" s="46" t="inlineStr">
        <is>
          <t>ок</t>
        </is>
      </c>
      <c r="Q313" s="1" t="inlineStr">
        <is>
          <t>Также Деко 10 299 / Деко-1 11 899 (−20%)</t>
        </is>
      </c>
    </row>
    <row r="314">
      <c r="A314" s="1" t="inlineStr">
        <is>
          <t>2_Заезд</t>
        </is>
      </c>
      <c r="B314" s="1" t="n">
        <v>17</v>
      </c>
      <c r="C314" s="1" t="inlineStr">
        <is>
          <t>Спальня</t>
        </is>
      </c>
      <c r="D314" s="1" t="inlineStr">
        <is>
          <t>Комод</t>
        </is>
      </c>
      <c r="E314" s="1" t="inlineStr">
        <is>
          <t>шт</t>
        </is>
      </c>
      <c r="F314" s="1" t="inlineStr">
        <is>
          <t>МАКС</t>
        </is>
      </c>
      <c r="G314" s="1" t="inlineStr">
        <is>
          <t>Hoff Комод Гориция</t>
        </is>
      </c>
      <c r="H314" s="43" t="n">
        <v>27699</v>
      </c>
      <c r="I314" s="43" t="n">
        <v>50000</v>
      </c>
      <c r="J314" s="48" t="n">
        <v>-44.6</v>
      </c>
      <c r="K314" s="1" t="inlineStr">
        <is>
          <t>Hoff Саратов (Happy Молл, Вольский тракт 2)</t>
        </is>
      </c>
      <c r="L314" s="1" t="inlineStr">
        <is>
          <t>Саратов</t>
        </is>
      </c>
      <c r="M314" s="45" t="inlineStr">
        <is>
          <t>https://hoff.ru/catalog/promo/komody/</t>
        </is>
      </c>
      <c r="N314" s="1" t="inlineStr">
        <is>
          <t>сниппет</t>
        </is>
      </c>
      <c r="O314" s="1" t="inlineStr">
        <is>
          <t>2026-09-11</t>
        </is>
      </c>
      <c r="P314" s="46" t="inlineStr">
        <is>
          <t>ок</t>
        </is>
      </c>
      <c r="Q314" s="1" t="inlineStr">
        <is>
          <t>Аскона комоды 14 990–35 369 ₽ (сниппет, без модели)</t>
        </is>
      </c>
    </row>
    <row r="315">
      <c r="A315" s="1" t="inlineStr">
        <is>
          <t>2_Заезд</t>
        </is>
      </c>
      <c r="B315" s="1" t="n">
        <v>17</v>
      </c>
      <c r="C315" s="1" t="inlineStr">
        <is>
          <t>Спальня</t>
        </is>
      </c>
      <c r="D315" s="1" t="inlineStr">
        <is>
          <t>Комод</t>
        </is>
      </c>
      <c r="E315" s="1" t="inlineStr">
        <is>
          <t>шт</t>
        </is>
      </c>
      <c r="F315" s="1" t="inlineStr">
        <is>
          <t>ВСЕ</t>
        </is>
      </c>
      <c r="G315" s="1" t="inlineStr">
        <is>
          <t>Авито Саратов — поиск «Комод» (новые товары магазинов и объявления)</t>
        </is>
      </c>
      <c r="H315" s="43" t="n"/>
      <c r="I315" s="43" t="n"/>
      <c r="J315" s="44" t="n"/>
      <c r="K315" s="1" t="inlineStr">
        <is>
          <t>Авито Саратов</t>
        </is>
      </c>
      <c r="L315" s="1" t="inlineStr">
        <is>
          <t>Саратов</t>
        </is>
      </c>
      <c r="M315" s="45" t="inlineStr">
        <is>
          <t>https://www.avito.ru/saratov?q=%D0%9A%D0%BE%D0%BC%D0%BE%D0%B4</t>
        </is>
      </c>
      <c r="N315" s="1" t="inlineStr">
        <is>
          <t>не проверено</t>
        </is>
      </c>
      <c r="O315" s="1" t="inlineStr">
        <is>
          <t>2026-09-11</t>
        </is>
      </c>
      <c r="P315" s="47" t="inlineStr">
        <is>
          <t>уточнить</t>
        </is>
      </c>
      <c r="Q31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16">
      <c r="A316" s="1" t="inlineStr">
        <is>
          <t>2_Заезд</t>
        </is>
      </c>
      <c r="B316" s="1" t="n">
        <v>18</v>
      </c>
      <c r="C316" s="1" t="inlineStr">
        <is>
          <t>Спальня</t>
        </is>
      </c>
      <c r="D316" s="1" t="inlineStr">
        <is>
          <t>Шторы + карниз</t>
        </is>
      </c>
      <c r="E316" s="1" t="inlineStr">
        <is>
          <t>компл</t>
        </is>
      </c>
      <c r="F316" s="1" t="inlineStr">
        <is>
          <t>МИН</t>
        </is>
      </c>
      <c r="G316" s="1" t="inlineStr">
        <is>
          <t>Лемана ПРО карниз потолочный трёхрядный пластик (от 538 ₽) + Hoff шторы блэкаут готовые 2 × 1 399 ₽</t>
        </is>
      </c>
      <c r="H316" s="43" t="n">
        <v>3336</v>
      </c>
      <c r="I316" s="43" t="n">
        <v>5000</v>
      </c>
      <c r="J316" s="48" t="n">
        <v>-33.3</v>
      </c>
      <c r="K316" s="1" t="inlineStr">
        <is>
          <t>Лемана ПРО Саратов + Hoff Саратов (Happy Молл, Вольский тракт 2)</t>
        </is>
      </c>
      <c r="L316" s="1" t="inlineStr">
        <is>
          <t>Саратов</t>
        </is>
      </c>
      <c r="M316" s="45" t="inlineStr">
        <is>
          <t>https://lemanapro.ru/catalogue/potolochnye-karnizy/trehryadnye/</t>
        </is>
      </c>
      <c r="N316" s="1" t="inlineStr">
        <is>
          <t>сниппет</t>
        </is>
      </c>
      <c r="O316" s="1" t="inlineStr">
        <is>
          <t>2026-09-11</t>
        </is>
      </c>
      <c r="P316" s="47" t="inlineStr">
        <is>
          <t>уточнить</t>
        </is>
      </c>
      <c r="Q316" s="1" t="inlineStr">
        <is>
          <t>Сумма: 538 + 2×1 399 = 3 336 ₽ (арифметика по сниппетам). Цена штор Hoff 1 399–3 299 — сниппет stroy-vitrina, не hoff.ru. lemanapro.ru блокирует WebFetch (401)</t>
        </is>
      </c>
    </row>
    <row r="317">
      <c r="A317" s="1" t="inlineStr">
        <is>
          <t>2_Заезд</t>
        </is>
      </c>
      <c r="B317" s="1" t="n">
        <v>18</v>
      </c>
      <c r="C317" s="1" t="inlineStr">
        <is>
          <t>Спальня</t>
        </is>
      </c>
      <c r="D317" s="1" t="inlineStr">
        <is>
          <t>Шторы + карниз</t>
        </is>
      </c>
      <c r="E317" s="1" t="inlineStr">
        <is>
          <t>компл</t>
        </is>
      </c>
      <c r="F317" s="1" t="inlineStr">
        <is>
          <t>СРЕД</t>
        </is>
      </c>
      <c r="G317" s="1" t="inlineStr">
        <is>
          <t>ShtoryStore Саратов — пошив штор на заказ (цена по расчёту) + скрытый карниз Лемана ПРО (от 160 ₽)</t>
        </is>
      </c>
      <c r="H317" s="43" t="n"/>
      <c r="I317" s="43" t="n">
        <v>15000</v>
      </c>
      <c r="J317" s="44" t="n"/>
      <c r="K317" s="1" t="inlineStr">
        <is>
          <t>Шторы Store Саратов (saratov.shtorystore.ru)</t>
        </is>
      </c>
      <c r="L317" s="1" t="inlineStr">
        <is>
          <t>Саратов</t>
        </is>
      </c>
      <c r="M317" s="45" t="inlineStr">
        <is>
          <t>https://saratov.shtorystore.ru/shtory/na_zakaz/</t>
        </is>
      </c>
      <c r="N317" s="1" t="inlineStr">
        <is>
          <t>не проверено</t>
        </is>
      </c>
      <c r="O317" s="1" t="inlineStr">
        <is>
          <t>2026-09-11</t>
        </is>
      </c>
      <c r="P317" s="47" t="inlineStr">
        <is>
          <t>уточнить</t>
        </is>
      </c>
      <c r="Q317" s="1" t="inlineStr">
        <is>
          <t>Собственный цех в Саратове, цена зависит от ткани/размера; бесплатная доставка от 6 000 ₽. Скрытый карниз в потолке — см. лист 1_Ремонт; у Лемана ПРО скрытые карнизы от 160 ₽ (сниппет)</t>
        </is>
      </c>
    </row>
    <row r="318">
      <c r="A318" s="1" t="inlineStr">
        <is>
          <t>2_Заезд</t>
        </is>
      </c>
      <c r="B318" s="1" t="n">
        <v>18</v>
      </c>
      <c r="C318" s="1" t="inlineStr">
        <is>
          <t>Спальня</t>
        </is>
      </c>
      <c r="D318" s="1" t="inlineStr">
        <is>
          <t>Шторы + карниз</t>
        </is>
      </c>
      <c r="E318" s="1" t="inlineStr">
        <is>
          <t>компл</t>
        </is>
      </c>
      <c r="F318" s="1" t="inlineStr">
        <is>
          <t>МАКС</t>
        </is>
      </c>
      <c r="G318" s="1" t="inlineStr">
        <is>
          <t>Spacy.ru пошив штор в спальню (портьера + тюль) от 19 500 ₽ + скрытый карниз</t>
        </is>
      </c>
      <c r="H318" s="43" t="n">
        <v>19500</v>
      </c>
      <c r="I318" s="43" t="n">
        <v>40000</v>
      </c>
      <c r="J318" s="48" t="n">
        <v>-51.2</v>
      </c>
      <c r="K318" s="1" t="inlineStr">
        <is>
          <t>Спейси (spacy.ru)</t>
        </is>
      </c>
      <c r="L318" s="1" t="inlineStr">
        <is>
          <t>доставка в Саратов</t>
        </is>
      </c>
      <c r="M318" s="45" t="inlineStr">
        <is>
          <t>https://spacy.ru/shtory-v-spalnyu</t>
        </is>
      </c>
      <c r="N318" s="1" t="inlineStr">
        <is>
          <t>сниппет</t>
        </is>
      </c>
      <c r="O318" s="1" t="inlineStr">
        <is>
          <t>2026-09-11</t>
        </is>
      </c>
      <c r="P318" s="47" t="inlineStr">
        <is>
          <t>уточнить</t>
        </is>
      </c>
      <c r="Q318" s="1" t="inlineStr">
        <is>
          <t>Московский салон, «от»-цена; карниз не включён. Саратовские салоны цену онлайн не публикуют</t>
        </is>
      </c>
    </row>
    <row r="319">
      <c r="A319" s="1" t="inlineStr">
        <is>
          <t>2_Заезд</t>
        </is>
      </c>
      <c r="B319" s="1" t="n">
        <v>18</v>
      </c>
      <c r="C319" s="1" t="inlineStr">
        <is>
          <t>Спальня</t>
        </is>
      </c>
      <c r="D319" s="1" t="inlineStr">
        <is>
          <t>Шторы + карниз</t>
        </is>
      </c>
      <c r="E319" s="1" t="inlineStr">
        <is>
          <t>компл</t>
        </is>
      </c>
      <c r="F319" s="1" t="inlineStr">
        <is>
          <t>ВСЕ</t>
        </is>
      </c>
      <c r="G319" s="1" t="inlineStr">
        <is>
          <t>Авито Саратов — поиск «Шторы + карниз» (новые товары магазинов и объявления)</t>
        </is>
      </c>
      <c r="H319" s="43" t="n"/>
      <c r="I319" s="43" t="n"/>
      <c r="J319" s="44" t="n"/>
      <c r="K319" s="1" t="inlineStr">
        <is>
          <t>Авито Саратов</t>
        </is>
      </c>
      <c r="L319" s="1" t="inlineStr">
        <is>
          <t>Саратов</t>
        </is>
      </c>
      <c r="M319" s="45" t="inlineStr">
        <is>
          <t>https://www.avito.ru/saratov?q=%D0%A8%D1%82%D0%BE%D1%80%D1%8B%20%2B%20%D0%BA%D0%B0%D1%80%D0%BD%D0%B8%D0%B7</t>
        </is>
      </c>
      <c r="N319" s="1" t="inlineStr">
        <is>
          <t>не проверено</t>
        </is>
      </c>
      <c r="O319" s="1" t="inlineStr">
        <is>
          <t>2026-09-11</t>
        </is>
      </c>
      <c r="P319" s="47" t="inlineStr">
        <is>
          <t>уточнить</t>
        </is>
      </c>
      <c r="Q31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20">
      <c r="A320" s="1" t="inlineStr">
        <is>
          <t>2_Заезд</t>
        </is>
      </c>
      <c r="B320" s="1" t="n">
        <v>19</v>
      </c>
      <c r="C320" s="1" t="inlineStr">
        <is>
          <t>Спальня</t>
        </is>
      </c>
      <c r="D320" s="1" t="inlineStr">
        <is>
          <t>Постельное, подушки, одеяло</t>
        </is>
      </c>
      <c r="E320" s="1" t="inlineStr">
        <is>
          <t>компл</t>
        </is>
      </c>
      <c r="F320" s="1" t="inlineStr">
        <is>
          <t>МИН</t>
        </is>
      </c>
      <c r="G320" s="1" t="inlineStr">
        <is>
          <t>Аскона КПБ евро Natural Balance Blue Wave (поплин) 2 899 ₽ + набор Elso Large (2 подушки + одеяло евро) 3 099 ₽</t>
        </is>
      </c>
      <c r="H320" s="43" t="n">
        <v>5998</v>
      </c>
      <c r="I320" s="43" t="n">
        <v>5000</v>
      </c>
      <c r="J320" s="44" t="n">
        <v>20</v>
      </c>
      <c r="K320" s="1" t="inlineStr">
        <is>
          <t>Аскона (askona.ru)</t>
        </is>
      </c>
      <c r="L320" s="1" t="inlineStr">
        <is>
          <t>Саратов</t>
        </is>
      </c>
      <c r="M320" s="45" t="inlineStr">
        <is>
          <t>https://www.askona.ru/tekstil/postelnoe-beljo/tip_evro/</t>
        </is>
      </c>
      <c r="N320" s="1" t="inlineStr">
        <is>
          <t>сниппет</t>
        </is>
      </c>
      <c r="O320" s="1" t="inlineStr">
        <is>
          <t>2026-09-11</t>
        </is>
      </c>
      <c r="P320" s="46" t="inlineStr">
        <is>
          <t>ок</t>
        </is>
      </c>
      <c r="Q320" s="1" t="inlineStr">
        <is>
          <t>КПБ — страница; набор Elso Large — сниппет (−34%). Сумма арифметическая</t>
        </is>
      </c>
    </row>
    <row r="321">
      <c r="A321" s="1" t="inlineStr">
        <is>
          <t>2_Заезд</t>
        </is>
      </c>
      <c r="B321" s="1" t="n">
        <v>19</v>
      </c>
      <c r="C321" s="1" t="inlineStr">
        <is>
          <t>Спальня</t>
        </is>
      </c>
      <c r="D321" s="1" t="inlineStr">
        <is>
          <t>Постельное, подушки, одеяло</t>
        </is>
      </c>
      <c r="E321" s="1" t="inlineStr">
        <is>
          <t>компл</t>
        </is>
      </c>
      <c r="F321" s="1" t="inlineStr">
        <is>
          <t>СРЕД</t>
        </is>
      </c>
      <c r="G321" s="1" t="inlineStr">
        <is>
          <t>Аскона КПБ евро Lite Home (сатин 240 TC) 7 099 ₽ + набор Elso Large 3 099 ₽</t>
        </is>
      </c>
      <c r="H321" s="43" t="n">
        <v>10198</v>
      </c>
      <c r="I321" s="43" t="n">
        <v>12000</v>
      </c>
      <c r="J321" s="44" t="n">
        <v>-15</v>
      </c>
      <c r="K321" s="1" t="inlineStr">
        <is>
          <t>Аскона (askona.ru)</t>
        </is>
      </c>
      <c r="L321" s="1" t="inlineStr">
        <is>
          <t>Саратов</t>
        </is>
      </c>
      <c r="M321" s="45" t="inlineStr">
        <is>
          <t>https://www.askona.ru/tekstil/postelnoe-beljo/tip_evro/</t>
        </is>
      </c>
      <c r="N321" s="1" t="inlineStr">
        <is>
          <t>сниппет</t>
        </is>
      </c>
      <c r="O321" s="1" t="inlineStr">
        <is>
          <t>2026-09-11</t>
        </is>
      </c>
      <c r="P321" s="46" t="inlineStr">
        <is>
          <t>ок</t>
        </is>
      </c>
      <c r="Q321" s="1" t="inlineStr">
        <is>
          <t>КПБ — страница; набор — сниппет</t>
        </is>
      </c>
    </row>
    <row r="322">
      <c r="A322" s="1" t="inlineStr">
        <is>
          <t>2_Заезд</t>
        </is>
      </c>
      <c r="B322" s="1" t="n">
        <v>19</v>
      </c>
      <c r="C322" s="1" t="inlineStr">
        <is>
          <t>Спальня</t>
        </is>
      </c>
      <c r="D322" s="1" t="inlineStr">
        <is>
          <t>Постельное, подушки, одеяло</t>
        </is>
      </c>
      <c r="E322" s="1" t="inlineStr">
        <is>
          <t>компл</t>
        </is>
      </c>
      <c r="F322" s="1" t="inlineStr">
        <is>
          <t>МАКС</t>
        </is>
      </c>
      <c r="G322" s="1" t="inlineStr">
        <is>
          <t>Аскона КПБ евро Trend Tencel Mystery (тенсел 300 TC) 11 599 ₽ + набор Elso Large 3 099 ₽</t>
        </is>
      </c>
      <c r="H322" s="43" t="n">
        <v>14698</v>
      </c>
      <c r="I322" s="43" t="n">
        <v>30000</v>
      </c>
      <c r="J322" s="48" t="n">
        <v>-51</v>
      </c>
      <c r="K322" s="1" t="inlineStr">
        <is>
          <t>Аскона (askona.ru)</t>
        </is>
      </c>
      <c r="L322" s="1" t="inlineStr">
        <is>
          <t>Саратов</t>
        </is>
      </c>
      <c r="M322" s="45" t="inlineStr">
        <is>
          <t>https://www.askona.ru/tekstil/postelnoe-beljo/tip_evro/</t>
        </is>
      </c>
      <c r="N322" s="1" t="inlineStr">
        <is>
          <t>сниппет</t>
        </is>
      </c>
      <c r="O322" s="1" t="inlineStr">
        <is>
          <t>2026-09-11</t>
        </is>
      </c>
      <c r="P322" s="47" t="inlineStr">
        <is>
          <t>уточнить</t>
        </is>
      </c>
      <c r="Q322" s="1" t="inlineStr">
        <is>
          <t>Премиум-подушки/одеяло Аскона не оценены — взят базовый набор; реальный МАКС выше. Maco Sateen евро 10 399 ₽</t>
        </is>
      </c>
    </row>
    <row r="323">
      <c r="A323" s="1" t="inlineStr">
        <is>
          <t>2_Заезд</t>
        </is>
      </c>
      <c r="B323" s="1" t="n">
        <v>19</v>
      </c>
      <c r="C323" s="1" t="inlineStr">
        <is>
          <t>Спальня</t>
        </is>
      </c>
      <c r="D323" s="1" t="inlineStr">
        <is>
          <t>Постельное, подушки, одеяло</t>
        </is>
      </c>
      <c r="E323" s="1" t="inlineStr">
        <is>
          <t>компл</t>
        </is>
      </c>
      <c r="F323" s="1" t="inlineStr">
        <is>
          <t>ВСЕ</t>
        </is>
      </c>
      <c r="G323" s="1" t="inlineStr">
        <is>
          <t>Авито Саратов — поиск «Постельное, подушки, одеяло» (новые товары магазинов и объявления)</t>
        </is>
      </c>
      <c r="H323" s="43" t="n"/>
      <c r="I323" s="43" t="n"/>
      <c r="J323" s="44" t="n"/>
      <c r="K323" s="1" t="inlineStr">
        <is>
          <t>Авито Саратов</t>
        </is>
      </c>
      <c r="L323" s="1" t="inlineStr">
        <is>
          <t>Саратов</t>
        </is>
      </c>
      <c r="M323" s="45" t="inlineStr">
        <is>
          <t>https://www.avito.ru/saratov?q=%D0%9F%D0%BE%D1%81%D1%82%D0%B5%D0%BB%D1%8C%D0%BD%D0%BE%D0%B5%2C%20%D0%BF%D0%BE%D0%B4%D1%83%D1%88%D0%BA%D0%B8%2C%20%D0%BE%D0%B4%D0%B5%D1%8F%D0%BB%D0%BE</t>
        </is>
      </c>
      <c r="N323" s="1" t="inlineStr">
        <is>
          <t>не проверено</t>
        </is>
      </c>
      <c r="O323" s="1" t="inlineStr">
        <is>
          <t>2026-09-11</t>
        </is>
      </c>
      <c r="P323" s="47" t="inlineStr">
        <is>
          <t>уточнить</t>
        </is>
      </c>
      <c r="Q32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24">
      <c r="A324" s="1" t="inlineStr">
        <is>
          <t>2_Заезд</t>
        </is>
      </c>
      <c r="B324" s="1" t="n">
        <v>20</v>
      </c>
      <c r="C324" s="1" t="inlineStr">
        <is>
          <t>Спальня</t>
        </is>
      </c>
      <c r="D324" s="1" t="inlineStr">
        <is>
          <t>Бра / настольные светильники</t>
        </is>
      </c>
      <c r="E324" s="1" t="inlineStr">
        <is>
          <t>компл</t>
        </is>
      </c>
      <c r="F324" s="1" t="inlineStr">
        <is>
          <t>МИН</t>
        </is>
      </c>
      <c r="G324" s="1" t="inlineStr">
        <is>
          <t>Hoff настольная лампа Ness × 2 шт (999 ₽/шт)</t>
        </is>
      </c>
      <c r="H324" s="43" t="n">
        <v>1998</v>
      </c>
      <c r="I324" s="43" t="n">
        <v>2000</v>
      </c>
      <c r="J324" s="44" t="n">
        <v>-0.1</v>
      </c>
      <c r="K324" s="1" t="inlineStr">
        <is>
          <t>Hoff Саратов (Happy Молл, Вольский тракт 2)</t>
        </is>
      </c>
      <c r="L324" s="1" t="inlineStr">
        <is>
          <t>Саратов</t>
        </is>
      </c>
      <c r="M324" s="45" t="inlineStr">
        <is>
          <t>https://hoff.ru/catalog/tovary_dlya_doma/osveschenie/nastolnye_lampy/</t>
        </is>
      </c>
      <c r="N324" s="1" t="inlineStr">
        <is>
          <t>сниппет</t>
        </is>
      </c>
      <c r="O324" s="1" t="inlineStr">
        <is>
          <t>2026-09-11</t>
        </is>
      </c>
      <c r="P324" s="46" t="inlineStr">
        <is>
          <t>ок</t>
        </is>
      </c>
      <c r="Q324" s="1" t="inlineStr">
        <is>
          <t>Также Эра 499 ₽, Неаполь 899 ₽. Лемана ПРО: бра от 152 ₽ (сниппет, без модели); lemanapro.ru блокирует WebFetch</t>
        </is>
      </c>
    </row>
    <row r="325">
      <c r="A325" s="1" t="inlineStr">
        <is>
          <t>2_Заезд</t>
        </is>
      </c>
      <c r="B325" s="1" t="n">
        <v>20</v>
      </c>
      <c r="C325" s="1" t="inlineStr">
        <is>
          <t>Спальня</t>
        </is>
      </c>
      <c r="D325" s="1" t="inlineStr">
        <is>
          <t>Бра / настольные светильники</t>
        </is>
      </c>
      <c r="E325" s="1" t="inlineStr">
        <is>
          <t>компл</t>
        </is>
      </c>
      <c r="F325" s="1" t="inlineStr">
        <is>
          <t>СРЕД</t>
        </is>
      </c>
      <c r="G325" s="1" t="inlineStr">
        <is>
          <t>Hoff Бра Orecchini E14 × 2 шт (4 699 ₽/шт)</t>
        </is>
      </c>
      <c r="H325" s="43" t="n">
        <v>9398</v>
      </c>
      <c r="I325" s="43" t="n">
        <v>8000</v>
      </c>
      <c r="J325" s="44" t="n">
        <v>17.5</v>
      </c>
      <c r="K325" s="1" t="inlineStr">
        <is>
          <t>Hoff Саратов (Happy Молл, Вольский тракт 2)</t>
        </is>
      </c>
      <c r="L325" s="1" t="inlineStr">
        <is>
          <t>Саратов</t>
        </is>
      </c>
      <c r="M325" s="45" t="inlineStr">
        <is>
          <t>https://hoff.ru/catalog/tovary_dlya_doma/osveschenie/bra/bra_orecchini_id10377205/?articul=80638441</t>
        </is>
      </c>
      <c r="N325" s="1" t="inlineStr">
        <is>
          <t>сниппет</t>
        </is>
      </c>
      <c r="O325" s="1" t="inlineStr">
        <is>
          <t>2026-09-11</t>
        </is>
      </c>
      <c r="P325" s="46" t="inlineStr">
        <is>
          <t>ок</t>
        </is>
      </c>
      <c r="Q325" s="1" t="inlineStr">
        <is>
          <t>Комплект = 2 бра над тумбами; вторая версия Orecchini 5 999 ₽</t>
        </is>
      </c>
    </row>
    <row r="326">
      <c r="A326" s="1" t="inlineStr">
        <is>
          <t>2_Заезд</t>
        </is>
      </c>
      <c r="B326" s="1" t="n">
        <v>20</v>
      </c>
      <c r="C326" s="1" t="inlineStr">
        <is>
          <t>Спальня</t>
        </is>
      </c>
      <c r="D326" s="1" t="inlineStr">
        <is>
          <t>Бра / настольные светильники</t>
        </is>
      </c>
      <c r="E326" s="1" t="inlineStr">
        <is>
          <t>компл</t>
        </is>
      </c>
      <c r="F326" s="1" t="inlineStr">
        <is>
          <t>МАКС</t>
        </is>
      </c>
      <c r="G326" s="1" t="inlineStr">
        <is>
          <t>Hoff Бра ST LUCE Teramo E14 × 2 шт (16 999 ₽/шт)</t>
        </is>
      </c>
      <c r="H326" s="43" t="n">
        <v>33998</v>
      </c>
      <c r="I326" s="43" t="n">
        <v>25000</v>
      </c>
      <c r="J326" s="48" t="n">
        <v>36</v>
      </c>
      <c r="K326" s="1" t="inlineStr">
        <is>
          <t>Hoff Саратов (Happy Молл, Вольский тракт 2)</t>
        </is>
      </c>
      <c r="L326" s="1" t="inlineStr">
        <is>
          <t>Саратов</t>
        </is>
      </c>
      <c r="M326" s="45" t="inlineStr">
        <is>
          <t>https://hoff.ru/catalog/tovary_dlya_doma/osveschenie/bra/bra_teramo_id10377253/?articul=80638452</t>
        </is>
      </c>
      <c r="N326" s="1" t="inlineStr">
        <is>
          <t>сниппет</t>
        </is>
      </c>
      <c r="O326" s="1" t="inlineStr">
        <is>
          <t>2026-09-11</t>
        </is>
      </c>
      <c r="P326" s="46" t="inlineStr">
        <is>
          <t>ок</t>
        </is>
      </c>
      <c r="Q326" s="1" t="inlineStr">
        <is>
          <t>Одно бра 16 999 ₽ = −32% к смете; пара +36%</t>
        </is>
      </c>
    </row>
    <row r="327">
      <c r="A327" s="1" t="inlineStr">
        <is>
          <t>2_Заезд</t>
        </is>
      </c>
      <c r="B327" s="1" t="n">
        <v>20</v>
      </c>
      <c r="C327" s="1" t="inlineStr">
        <is>
          <t>Спальня</t>
        </is>
      </c>
      <c r="D327" s="1" t="inlineStr">
        <is>
          <t>Бра / настольные светильники</t>
        </is>
      </c>
      <c r="E327" s="1" t="inlineStr">
        <is>
          <t>компл</t>
        </is>
      </c>
      <c r="F327" s="1" t="inlineStr">
        <is>
          <t>ВСЕ</t>
        </is>
      </c>
      <c r="G327" s="1" t="inlineStr">
        <is>
          <t>Авито Саратов — поиск «Бра / настольные светильники» (новые товары магазинов и объявления)</t>
        </is>
      </c>
      <c r="H327" s="43" t="n"/>
      <c r="I327" s="43" t="n"/>
      <c r="J327" s="44" t="n"/>
      <c r="K327" s="1" t="inlineStr">
        <is>
          <t>Авито Саратов</t>
        </is>
      </c>
      <c r="L327" s="1" t="inlineStr">
        <is>
          <t>Саратов</t>
        </is>
      </c>
      <c r="M327" s="45" t="inlineStr">
        <is>
          <t>https://www.avito.ru/saratov?q=%D0%91%D1%80%D0%B0%20/%20%D0%BD%D0%B0%D1%81%D1%82%D0%BE%D0%BB%D1%8C%D0%BD%D1%8B%D0%B5%20%D1%81%D0%B2%D0%B5%D1%82%D0%B8%D0%BB%D1%8C%D0%BD%D0%B8%D0%BA%D0%B8</t>
        </is>
      </c>
      <c r="N327" s="1" t="inlineStr">
        <is>
          <t>не проверено</t>
        </is>
      </c>
      <c r="O327" s="1" t="inlineStr">
        <is>
          <t>2026-09-11</t>
        </is>
      </c>
      <c r="P327" s="47" t="inlineStr">
        <is>
          <t>уточнить</t>
        </is>
      </c>
      <c r="Q32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28">
      <c r="A328" s="1" t="inlineStr">
        <is>
          <t>2_Заезд</t>
        </is>
      </c>
      <c r="B328" s="1" t="n">
        <v>21</v>
      </c>
      <c r="C328" s="1" t="inlineStr">
        <is>
          <t>Детская</t>
        </is>
      </c>
      <c r="D328" s="1" t="inlineStr">
        <is>
          <t>Кровать раздвижная (растущая) 80×130→190</t>
        </is>
      </c>
      <c r="E328" s="1" t="inlineStr">
        <is>
          <t>шт</t>
        </is>
      </c>
      <c r="F328" s="1" t="inlineStr">
        <is>
          <t>МИН</t>
        </is>
      </c>
      <c r="G328" s="1" t="inlineStr">
        <is>
          <t>Орбита-мебель раздвижная кровать «Вырастайка» (ЛДСП, 3+)</t>
        </is>
      </c>
      <c r="H328" s="43" t="n">
        <v>13347</v>
      </c>
      <c r="I328" s="43" t="n">
        <v>12000</v>
      </c>
      <c r="J328" s="44" t="n">
        <v>11.2</v>
      </c>
      <c r="K328" s="1" t="inlineStr">
        <is>
          <t>Орбита-мебель (orbita-mebel.ru)</t>
        </is>
      </c>
      <c r="L328" s="1" t="inlineStr">
        <is>
          <t>доставка в Саратов</t>
        </is>
      </c>
      <c r="M328" s="45" t="inlineStr">
        <is>
          <t>https://www.orbita-mebel.ru/catalog/detskaya-krovat-virastaika/</t>
        </is>
      </c>
      <c r="N328" s="1" t="inlineStr">
        <is>
          <t>страница</t>
        </is>
      </c>
      <c r="O328" s="1" t="inlineStr">
        <is>
          <t>2026-09-11</t>
        </is>
      </c>
      <c r="P328" s="46" t="inlineStr">
        <is>
          <t>ок</t>
        </is>
      </c>
      <c r="Q328" s="1" t="inlineStr">
        <is>
          <t>Три варианта 13 347 / 13 629 / 13 880 ₽; ширина 70–80 см, длина в раздвинутом виде на странице не указана. Hoff «Жили-Были» раздвижная — URL есть, цена не видна (401)</t>
        </is>
      </c>
    </row>
    <row r="329">
      <c r="A329" s="1" t="inlineStr">
        <is>
          <t>2_Заезд</t>
        </is>
      </c>
      <c r="B329" s="1" t="n">
        <v>21</v>
      </c>
      <c r="C329" s="1" t="inlineStr">
        <is>
          <t>Детская</t>
        </is>
      </c>
      <c r="D329" s="1" t="inlineStr">
        <is>
          <t>Кровать раздвижная (растущая) 80×130→190</t>
        </is>
      </c>
      <c r="E329" s="1" t="inlineStr">
        <is>
          <t>шт</t>
        </is>
      </c>
      <c r="F329" s="1" t="inlineStr">
        <is>
          <t>СРЕД</t>
        </is>
      </c>
      <c r="G329" s="1" t="inlineStr">
        <is>
          <t>Аскона Ruby Duo 80×200 (раздвижная, мягкая)</t>
        </is>
      </c>
      <c r="H329" s="43" t="n">
        <v>51899</v>
      </c>
      <c r="I329" s="43" t="n">
        <v>35000</v>
      </c>
      <c r="J329" s="48" t="n">
        <v>48.3</v>
      </c>
      <c r="K329" s="1" t="inlineStr">
        <is>
          <t>Аскона (askona.ru)</t>
        </is>
      </c>
      <c r="L329" s="1" t="inlineStr">
        <is>
          <t>Саратов</t>
        </is>
      </c>
      <c r="M329" s="45" t="inlineStr">
        <is>
          <t>https://www.askona.ru/detskie/krovati/</t>
        </is>
      </c>
      <c r="N329" s="1" t="inlineStr">
        <is>
          <t>страница</t>
        </is>
      </c>
      <c r="O329" s="1" t="inlineStr">
        <is>
          <t>2026-09-11</t>
        </is>
      </c>
      <c r="P329" s="46" t="inlineStr">
        <is>
          <t>ок</t>
        </is>
      </c>
      <c r="Q329" s="1" t="inlineStr">
        <is>
          <t>Альтернатива: Аскона Luna 90×190 с выкатными ящиками 45 299 ₽; Uno Duo 80×180 выкатное место 35 699 ₽</t>
        </is>
      </c>
    </row>
    <row r="330">
      <c r="A330" s="1" t="inlineStr">
        <is>
          <t>2_Заезд</t>
        </is>
      </c>
      <c r="B330" s="1" t="n">
        <v>21</v>
      </c>
      <c r="C330" s="1" t="inlineStr">
        <is>
          <t>Детская</t>
        </is>
      </c>
      <c r="D330" s="1" t="inlineStr">
        <is>
          <t>Кровать раздвижная (растущая) 80×130→190</t>
        </is>
      </c>
      <c r="E330" s="1" t="inlineStr">
        <is>
          <t>шт</t>
        </is>
      </c>
      <c r="F330" s="1" t="inlineStr">
        <is>
          <t>МАКС</t>
        </is>
      </c>
      <c r="G330" s="1" t="inlineStr">
        <is>
          <t>Раздвижная кровать из массива на заказ / Ozon (Green Mebel сосна 80×190)</t>
        </is>
      </c>
      <c r="H330" s="43" t="n"/>
      <c r="I330" s="43" t="n">
        <v>90000</v>
      </c>
      <c r="J330" s="44" t="n"/>
      <c r="K330" s="1" t="inlineStr">
        <is>
          <t>Ozon (доставка в Саратов)</t>
        </is>
      </c>
      <c r="L330" s="1" t="inlineStr">
        <is>
          <t>доставка в Саратов</t>
        </is>
      </c>
      <c r="M330" s="45" t="inlineStr">
        <is>
          <t>https://www.ozon.ru/category/krovati-razdvizhnye/</t>
        </is>
      </c>
      <c r="N330" s="1" t="inlineStr">
        <is>
          <t>не проверено</t>
        </is>
      </c>
      <c r="O330" s="1" t="inlineStr">
        <is>
          <t>2026-09-11</t>
        </is>
      </c>
      <c r="P330" s="47" t="inlineStr">
        <is>
          <t>уточнить</t>
        </is>
      </c>
      <c r="Q330" s="1" t="inlineStr">
        <is>
          <t>Подтверждённой цены на раздвижную из массива нет. Райтон массив берёзы 80×190 от 9 520 ₽ (сниппет, не раздвижная)</t>
        </is>
      </c>
    </row>
    <row r="331">
      <c r="A331" s="1" t="inlineStr">
        <is>
          <t>2_Заезд</t>
        </is>
      </c>
      <c r="B331" s="1" t="n">
        <v>21</v>
      </c>
      <c r="C331" s="1" t="inlineStr">
        <is>
          <t>Детская</t>
        </is>
      </c>
      <c r="D331" s="1" t="inlineStr">
        <is>
          <t>Кровать раздвижная (растущая) 80×130→190</t>
        </is>
      </c>
      <c r="E331" s="1" t="inlineStr">
        <is>
          <t>шт</t>
        </is>
      </c>
      <c r="F331" s="1" t="inlineStr">
        <is>
          <t>ВСЕ</t>
        </is>
      </c>
      <c r="G331" s="1" t="inlineStr">
        <is>
          <t>Авито Саратов — поиск «Кровать раздвижная 80×130→190» (новые товары магазинов и объявления)</t>
        </is>
      </c>
      <c r="H331" s="43" t="n"/>
      <c r="I331" s="43" t="n"/>
      <c r="J331" s="44" t="n"/>
      <c r="K331" s="1" t="inlineStr">
        <is>
          <t>Авито Саратов</t>
        </is>
      </c>
      <c r="L331" s="1" t="inlineStr">
        <is>
          <t>Саратов</t>
        </is>
      </c>
      <c r="M331" s="45" t="inlineStr">
        <is>
          <t>https://www.avito.ru/saratov?q=%D0%9A%D1%80%D0%BE%D0%B2%D0%B0%D1%82%D1%8C%20%D1%80%D0%B0%D0%B7%D0%B4%D0%B2%D0%B8%D0%B6%D0%BD%D0%B0%D1%8F%2080%C3%97130%E2%86%92190</t>
        </is>
      </c>
      <c r="N331" s="1" t="inlineStr">
        <is>
          <t>не проверено</t>
        </is>
      </c>
      <c r="O331" s="1" t="inlineStr">
        <is>
          <t>2026-09-11</t>
        </is>
      </c>
      <c r="P331" s="47" t="inlineStr">
        <is>
          <t>уточнить</t>
        </is>
      </c>
      <c r="Q33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32">
      <c r="A332" s="1" t="inlineStr">
        <is>
          <t>2_Заезд</t>
        </is>
      </c>
      <c r="B332" s="1" t="n">
        <v>22</v>
      </c>
      <c r="C332" s="1" t="inlineStr">
        <is>
          <t>Детская</t>
        </is>
      </c>
      <c r="D332" s="1" t="inlineStr">
        <is>
          <t>Матрас для раздвижной кровати (секционный)</t>
        </is>
      </c>
      <c r="E332" s="1" t="inlineStr">
        <is>
          <t>шт</t>
        </is>
      </c>
      <c r="F332" s="1" t="inlineStr">
        <is>
          <t>МИН</t>
        </is>
      </c>
      <c r="G332" s="1" t="inlineStr">
        <is>
          <t>Орбита-мебель матрас «Кокос-Элит-М» для «Вырастайки» (секционный)</t>
        </is>
      </c>
      <c r="H332" s="43" t="n">
        <v>6232</v>
      </c>
      <c r="I332" s="43" t="n">
        <v>7000</v>
      </c>
      <c r="J332" s="44" t="n">
        <v>-11</v>
      </c>
      <c r="K332" s="1" t="inlineStr">
        <is>
          <t>Орбита-мебель (orbita-mebel.ru)</t>
        </is>
      </c>
      <c r="L332" s="1" t="inlineStr">
        <is>
          <t>доставка в Саратов</t>
        </is>
      </c>
      <c r="M332" s="45" t="inlineStr">
        <is>
          <t>https://www.orbita-mebel.ru/catalog/detskaya-krovat-virastaika/</t>
        </is>
      </c>
      <c r="N332" s="1" t="inlineStr">
        <is>
          <t>страница</t>
        </is>
      </c>
      <c r="O332" s="1" t="inlineStr">
        <is>
          <t>2026-09-11</t>
        </is>
      </c>
      <c r="P332" s="46" t="inlineStr">
        <is>
          <t>ок</t>
        </is>
      </c>
      <c r="Q332" s="1" t="inlineStr">
        <is>
          <t>Вариант «Кокос-Классик-М» 6 534 ₽; на странице неясно, входит ли в комплект кровати</t>
        </is>
      </c>
    </row>
    <row r="333">
      <c r="A333" s="1" t="inlineStr">
        <is>
          <t>2_Заезд</t>
        </is>
      </c>
      <c r="B333" s="1" t="n">
        <v>22</v>
      </c>
      <c r="C333" s="1" t="inlineStr">
        <is>
          <t>Детская</t>
        </is>
      </c>
      <c r="D333" s="1" t="inlineStr">
        <is>
          <t>Матрас для раздвижной кровати (секционный)</t>
        </is>
      </c>
      <c r="E333" s="1" t="inlineStr">
        <is>
          <t>шт</t>
        </is>
      </c>
      <c r="F333" s="1" t="inlineStr">
        <is>
          <t>СРЕД</t>
        </is>
      </c>
      <c r="G333" s="1" t="inlineStr">
        <is>
          <t>Аскона Flash 80×190 (независимые пружины)</t>
        </is>
      </c>
      <c r="H333" s="43" t="n">
        <v>12499</v>
      </c>
      <c r="I333" s="43" t="n">
        <v>18000</v>
      </c>
      <c r="J333" s="48" t="n">
        <v>-30.6</v>
      </c>
      <c r="K333" s="1" t="inlineStr">
        <is>
          <t>Аскона (askona.ru)</t>
        </is>
      </c>
      <c r="L333" s="1" t="inlineStr">
        <is>
          <t>Саратов</t>
        </is>
      </c>
      <c r="M333" s="45" t="inlineStr">
        <is>
          <t>https://www.askona.ru/matrasy/80x190/</t>
        </is>
      </c>
      <c r="N333" s="1" t="inlineStr">
        <is>
          <t>страница</t>
        </is>
      </c>
      <c r="O333" s="1" t="inlineStr">
        <is>
          <t>2026-09-11</t>
        </is>
      </c>
      <c r="P333" s="46" t="inlineStr">
        <is>
          <t>ок</t>
        </is>
      </c>
      <c r="Q333" s="1" t="inlineStr">
        <is>
          <t>Полноразмерный 80×190 на раздвинутую кровать, не секционный; для секций нужны 80×130 + 80×60 (не найдены у Аскона). Basic Optima Hard 13 399 ₽</t>
        </is>
      </c>
    </row>
    <row r="334">
      <c r="A334" s="1" t="inlineStr">
        <is>
          <t>2_Заезд</t>
        </is>
      </c>
      <c r="B334" s="1" t="n">
        <v>22</v>
      </c>
      <c r="C334" s="1" t="inlineStr">
        <is>
          <t>Детская</t>
        </is>
      </c>
      <c r="D334" s="1" t="inlineStr">
        <is>
          <t>Матрас для раздвижной кровати (секционный)</t>
        </is>
      </c>
      <c r="E334" s="1" t="inlineStr">
        <is>
          <t>шт</t>
        </is>
      </c>
      <c r="F334" s="1" t="inlineStr">
        <is>
          <t>МАКС</t>
        </is>
      </c>
      <c r="G334" s="1" t="inlineStr">
        <is>
          <t>Аскона Serta Atlanta Medium 80×190</t>
        </is>
      </c>
      <c r="H334" s="43" t="n">
        <v>37899</v>
      </c>
      <c r="I334" s="43" t="n">
        <v>45000</v>
      </c>
      <c r="J334" s="44" t="n">
        <v>-15.8</v>
      </c>
      <c r="K334" s="1" t="inlineStr">
        <is>
          <t>Аскона (askona.ru)</t>
        </is>
      </c>
      <c r="L334" s="1" t="inlineStr">
        <is>
          <t>Саратов</t>
        </is>
      </c>
      <c r="M334" s="45" t="inlineStr">
        <is>
          <t>https://www.askona.ru/matrasy/80x190/</t>
        </is>
      </c>
      <c r="N334" s="1" t="inlineStr">
        <is>
          <t>страница</t>
        </is>
      </c>
      <c r="O334" s="1" t="inlineStr">
        <is>
          <t>2026-09-11</t>
        </is>
      </c>
      <c r="P334" s="46" t="inlineStr">
        <is>
          <t>ок</t>
        </is>
      </c>
      <c r="Q334" s="1" t="inlineStr">
        <is>
          <t>Дороже: Grether&amp;Wells Regal 80×190 54 399 ₽</t>
        </is>
      </c>
    </row>
    <row r="335">
      <c r="A335" s="1" t="inlineStr">
        <is>
          <t>2_Заезд</t>
        </is>
      </c>
      <c r="B335" s="1" t="n">
        <v>22</v>
      </c>
      <c r="C335" s="1" t="inlineStr">
        <is>
          <t>Детская</t>
        </is>
      </c>
      <c r="D335" s="1" t="inlineStr">
        <is>
          <t>Матрас для раздвижной кровати (секционный)</t>
        </is>
      </c>
      <c r="E335" s="1" t="inlineStr">
        <is>
          <t>шт</t>
        </is>
      </c>
      <c r="F335" s="1" t="inlineStr">
        <is>
          <t>ВСЕ</t>
        </is>
      </c>
      <c r="G335" s="1" t="inlineStr">
        <is>
          <t>Авито Саратов — поиск «Матрас для раздвижной кровати» (новые товары магазинов и объявления)</t>
        </is>
      </c>
      <c r="H335" s="43" t="n"/>
      <c r="I335" s="43" t="n"/>
      <c r="J335" s="44" t="n"/>
      <c r="K335" s="1" t="inlineStr">
        <is>
          <t>Авито Саратов</t>
        </is>
      </c>
      <c r="L335" s="1" t="inlineStr">
        <is>
          <t>Саратов</t>
        </is>
      </c>
      <c r="M335" s="45" t="inlineStr">
        <is>
          <t>https://www.avito.ru/saratov?q=%D0%9C%D0%B0%D1%82%D1%80%D0%B0%D1%81%20%D0%B4%D0%BB%D1%8F%20%D1%80%D0%B0%D0%B7%D0%B4%D0%B2%D0%B8%D0%B6%D0%BD%D0%BE%D0%B9%20%D0%BA%D1%80%D0%BE%D0%B2%D0%B0%D1%82%D0%B8</t>
        </is>
      </c>
      <c r="N335" s="1" t="inlineStr">
        <is>
          <t>не проверено</t>
        </is>
      </c>
      <c r="O335" s="1" t="inlineStr">
        <is>
          <t>2026-09-11</t>
        </is>
      </c>
      <c r="P335" s="47" t="inlineStr">
        <is>
          <t>уточнить</t>
        </is>
      </c>
      <c r="Q33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36">
      <c r="A336" s="1" t="inlineStr">
        <is>
          <t>2_Заезд</t>
        </is>
      </c>
      <c r="B336" s="1" t="n">
        <v>23</v>
      </c>
      <c r="C336" s="1" t="inlineStr">
        <is>
          <t>Детская</t>
        </is>
      </c>
      <c r="D336" s="1" t="inlineStr">
        <is>
          <t>Письменный стол + стул</t>
        </is>
      </c>
      <c r="E336" s="1" t="inlineStr">
        <is>
          <t>компл</t>
        </is>
      </c>
      <c r="F336" s="1" t="inlineStr">
        <is>
          <t>МИН</t>
        </is>
      </c>
      <c r="G336" s="1" t="inlineStr">
        <is>
          <t>Hoff Письменный стол Oregon 8 999 ₽ + стул ученический Осанка 4 999 ₽</t>
        </is>
      </c>
      <c r="H336" s="43" t="n">
        <v>13998</v>
      </c>
      <c r="I336" s="43" t="n">
        <v>8000</v>
      </c>
      <c r="J336" s="48" t="n">
        <v>75</v>
      </c>
      <c r="K336" s="1" t="inlineStr">
        <is>
          <t>Hoff Саратов (Happy Молл, Вольский тракт 2)</t>
        </is>
      </c>
      <c r="L336" s="1" t="inlineStr">
        <is>
          <t>Саратов</t>
        </is>
      </c>
      <c r="M336" s="45" t="inlineStr">
        <is>
          <t>https://hoff.ru/catalog/ofis/mebel_dlya_ofisa/pismennye-stoly/komputernye-stoly/pismennyy_stol_oregon_id6416083/?articul=80354122</t>
        </is>
      </c>
      <c r="N336" s="1" t="inlineStr">
        <is>
          <t>сниппет</t>
        </is>
      </c>
      <c r="O336" s="1" t="inlineStr">
        <is>
          <t>2026-09-11</t>
        </is>
      </c>
      <c r="P336" s="46" t="inlineStr">
        <is>
          <t>ок</t>
        </is>
      </c>
      <c r="Q336" s="1" t="inlineStr">
        <is>
          <t>Бюджетнее: стол Уно 1 799 ₽ + стул Мамонт от 1 499 ₽ = 3 298 ₽; регулируемый стул Эверест 5 499 ₽. Размер 120×60 у Oregon проверить</t>
        </is>
      </c>
    </row>
    <row r="337">
      <c r="A337" s="1" t="inlineStr">
        <is>
          <t>2_Заезд</t>
        </is>
      </c>
      <c r="B337" s="1" t="n">
        <v>23</v>
      </c>
      <c r="C337" s="1" t="inlineStr">
        <is>
          <t>Детская</t>
        </is>
      </c>
      <c r="D337" s="1" t="inlineStr">
        <is>
          <t>Письменный стол + стул</t>
        </is>
      </c>
      <c r="E337" s="1" t="inlineStr">
        <is>
          <t>компл</t>
        </is>
      </c>
      <c r="F337" s="1" t="inlineStr">
        <is>
          <t>СРЕД</t>
        </is>
      </c>
      <c r="G337" s="1" t="inlineStr">
        <is>
          <t>Rifforma CT-3562 растущая парта 10 990 ₽ + растущее кресло Rifforma 23 с чехлом 16 980 ₽</t>
        </is>
      </c>
      <c r="H337" s="43" t="n">
        <v>27970</v>
      </c>
      <c r="I337" s="43" t="n">
        <v>25000</v>
      </c>
      <c r="J337" s="44" t="n">
        <v>11.9</v>
      </c>
      <c r="K337" s="1" t="inlineStr">
        <is>
          <t>i-sit.ru (Rifforma)</t>
        </is>
      </c>
      <c r="L337" s="1" t="inlineStr">
        <is>
          <t>доставка в Саратов</t>
        </is>
      </c>
      <c r="M337" s="45" t="inlineStr">
        <is>
          <t>https://www.i-sit.ru/rifforma/</t>
        </is>
      </c>
      <c r="N337" s="1" t="inlineStr">
        <is>
          <t>страница</t>
        </is>
      </c>
      <c r="O337" s="1" t="inlineStr">
        <is>
          <t>2026-09-11</t>
        </is>
      </c>
      <c r="P337" s="46" t="inlineStr">
        <is>
          <t>ок</t>
        </is>
      </c>
      <c r="Q337" s="1" t="inlineStr">
        <is>
          <t>Сумма арифметическая; готовых наборов SET на странице нет. Парта CT-3541C 8 850 ₽</t>
        </is>
      </c>
    </row>
    <row r="338">
      <c r="A338" s="1" t="inlineStr">
        <is>
          <t>2_Заезд</t>
        </is>
      </c>
      <c r="B338" s="1" t="n">
        <v>23</v>
      </c>
      <c r="C338" s="1" t="inlineStr">
        <is>
          <t>Детская</t>
        </is>
      </c>
      <c r="D338" s="1" t="inlineStr">
        <is>
          <t>Письменный стол + стул</t>
        </is>
      </c>
      <c r="E338" s="1" t="inlineStr">
        <is>
          <t>компл</t>
        </is>
      </c>
      <c r="F338" s="1" t="inlineStr">
        <is>
          <t>МАКС</t>
        </is>
      </c>
      <c r="G338" s="1" t="inlineStr">
        <is>
          <t>Rifforma-09 растущий стол 33 970 ₽ + растущее кресло Rifforma 23 с чехлом 16 980 ₽</t>
        </is>
      </c>
      <c r="H338" s="43" t="n">
        <v>50950</v>
      </c>
      <c r="I338" s="43" t="n">
        <v>60000</v>
      </c>
      <c r="J338" s="44" t="n">
        <v>-15.1</v>
      </c>
      <c r="K338" s="1" t="inlineStr">
        <is>
          <t>i-sit.ru (Rifforma)</t>
        </is>
      </c>
      <c r="L338" s="1" t="inlineStr">
        <is>
          <t>доставка в Саратов</t>
        </is>
      </c>
      <c r="M338" s="45" t="inlineStr">
        <is>
          <t>https://www.i-sit.ru/rifforma/</t>
        </is>
      </c>
      <c r="N338" s="1" t="inlineStr">
        <is>
          <t>страница</t>
        </is>
      </c>
      <c r="O338" s="1" t="inlineStr">
        <is>
          <t>2026-09-11</t>
        </is>
      </c>
      <c r="P338" s="46" t="inlineStr">
        <is>
          <t>ок</t>
        </is>
      </c>
      <c r="Q338" s="1" t="inlineStr">
        <is>
          <t>Rifforma-03 26 990 ₽ + кресло = 43 970 ₽</t>
        </is>
      </c>
    </row>
    <row r="339">
      <c r="A339" s="1" t="inlineStr">
        <is>
          <t>2_Заезд</t>
        </is>
      </c>
      <c r="B339" s="1" t="n">
        <v>23</v>
      </c>
      <c r="C339" s="1" t="inlineStr">
        <is>
          <t>Детская</t>
        </is>
      </c>
      <c r="D339" s="1" t="inlineStr">
        <is>
          <t>Письменный стол + стул</t>
        </is>
      </c>
      <c r="E339" s="1" t="inlineStr">
        <is>
          <t>компл</t>
        </is>
      </c>
      <c r="F339" s="1" t="inlineStr">
        <is>
          <t>ВСЕ</t>
        </is>
      </c>
      <c r="G339" s="1" t="inlineStr">
        <is>
          <t>Авито Саратов — поиск «Письменный стол + стул» (новые товары магазинов и объявления)</t>
        </is>
      </c>
      <c r="H339" s="43" t="n"/>
      <c r="I339" s="43" t="n"/>
      <c r="J339" s="44" t="n"/>
      <c r="K339" s="1" t="inlineStr">
        <is>
          <t>Авито Саратов</t>
        </is>
      </c>
      <c r="L339" s="1" t="inlineStr">
        <is>
          <t>Саратов</t>
        </is>
      </c>
      <c r="M339" s="45" t="inlineStr">
        <is>
          <t>https://www.avito.ru/saratov?q=%D0%9F%D0%B8%D1%81%D1%8C%D0%BC%D0%B5%D0%BD%D0%BD%D1%8B%D0%B9%20%D1%81%D1%82%D0%BE%D0%BB%20%2B%20%D1%81%D1%82%D1%83%D0%BB</t>
        </is>
      </c>
      <c r="N339" s="1" t="inlineStr">
        <is>
          <t>не проверено</t>
        </is>
      </c>
      <c r="O339" s="1" t="inlineStr">
        <is>
          <t>2026-09-11</t>
        </is>
      </c>
      <c r="P339" s="47" t="inlineStr">
        <is>
          <t>уточнить</t>
        </is>
      </c>
      <c r="Q33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40">
      <c r="A340" s="1" t="inlineStr">
        <is>
          <t>2_Заезд</t>
        </is>
      </c>
      <c r="B340" s="1" t="n">
        <v>24</v>
      </c>
      <c r="C340" s="1" t="inlineStr">
        <is>
          <t>Детская</t>
        </is>
      </c>
      <c r="D340" s="1" t="inlineStr">
        <is>
          <t>Шкаф</t>
        </is>
      </c>
      <c r="E340" s="1" t="inlineStr">
        <is>
          <t>шт</t>
        </is>
      </c>
      <c r="F340" s="1" t="inlineStr">
        <is>
          <t>МИН</t>
        </is>
      </c>
      <c r="G340" s="1" t="inlineStr">
        <is>
          <t>Hoff Шкаф распашной Вива (ЛДСП)</t>
        </is>
      </c>
      <c r="H340" s="43" t="n">
        <v>16999</v>
      </c>
      <c r="I340" s="43" t="n">
        <v>15000</v>
      </c>
      <c r="J340" s="44" t="n">
        <v>13.3</v>
      </c>
      <c r="K340" s="1" t="inlineStr">
        <is>
          <t>Hoff Саратов (Happy Молл, Вольский тракт 2)</t>
        </is>
      </c>
      <c r="L340" s="1" t="inlineStr">
        <is>
          <t>Саратов</t>
        </is>
      </c>
      <c r="M340" s="45" t="inlineStr">
        <is>
          <t>https://hoff.ru/catalog/spalnya/shkafy_dlya_spalni/shkafy_raspashnye/shkaf_raspashnoy_viva_id10351125/?articul=80639084</t>
        </is>
      </c>
      <c r="N340" s="1" t="inlineStr">
        <is>
          <t>сниппет</t>
        </is>
      </c>
      <c r="O340" s="1" t="inlineStr">
        <is>
          <t>2026-09-11</t>
        </is>
      </c>
      <c r="P340" s="46" t="inlineStr">
        <is>
          <t>ок</t>
        </is>
      </c>
      <c r="Q340" s="1" t="inlineStr">
        <is>
          <t>Та же модель, что для спальни; ширину 160 проверить. Hoff Шкаф Бюджет (офисный 2-дверный) 9 999 ₽</t>
        </is>
      </c>
    </row>
    <row r="341">
      <c r="A341" s="1" t="inlineStr">
        <is>
          <t>2_Заезд</t>
        </is>
      </c>
      <c r="B341" s="1" t="n">
        <v>24</v>
      </c>
      <c r="C341" s="1" t="inlineStr">
        <is>
          <t>Детская</t>
        </is>
      </c>
      <c r="D341" s="1" t="inlineStr">
        <is>
          <t>Шкаф</t>
        </is>
      </c>
      <c r="E341" s="1" t="inlineStr">
        <is>
          <t>шт</t>
        </is>
      </c>
      <c r="F341" s="1" t="inlineStr">
        <is>
          <t>СРЕД</t>
        </is>
      </c>
      <c r="G341" s="1" t="inlineStr">
        <is>
          <t>Hoff Шкаф Валери</t>
        </is>
      </c>
      <c r="H341" s="43" t="n">
        <v>27999</v>
      </c>
      <c r="I341" s="43" t="n">
        <v>40000</v>
      </c>
      <c r="J341" s="44" t="n">
        <v>-30</v>
      </c>
      <c r="K341" s="1" t="inlineStr">
        <is>
          <t>Hoff Саратов (Happy Молл, Вольский тракт 2)</t>
        </is>
      </c>
      <c r="L341" s="1" t="inlineStr">
        <is>
          <t>Саратов</t>
        </is>
      </c>
      <c r="M341" s="45" t="inlineStr">
        <is>
          <t>https://hoff.ru/catalog/spalnya/shkafy_dlya_spalni/shkafy_raspashnye/shkaf_valeri_id9211197/?articul=80562625</t>
        </is>
      </c>
      <c r="N341" s="1" t="inlineStr">
        <is>
          <t>сниппет</t>
        </is>
      </c>
      <c r="O341" s="1" t="inlineStr">
        <is>
          <t>2026-09-11</t>
        </is>
      </c>
      <c r="P341" s="46" t="inlineStr">
        <is>
          <t>ок</t>
        </is>
      </c>
      <c r="Q341" s="1" t="inlineStr">
        <is>
          <t>Шкаф-гардероб Эванс 25 999 ₽ (сниппет)</t>
        </is>
      </c>
    </row>
    <row r="342">
      <c r="A342" s="1" t="inlineStr">
        <is>
          <t>2_Заезд</t>
        </is>
      </c>
      <c r="B342" s="1" t="n">
        <v>24</v>
      </c>
      <c r="C342" s="1" t="inlineStr">
        <is>
          <t>Детская</t>
        </is>
      </c>
      <c r="D342" s="1" t="inlineStr">
        <is>
          <t>Шкаф</t>
        </is>
      </c>
      <c r="E342" s="1" t="inlineStr">
        <is>
          <t>шт</t>
        </is>
      </c>
      <c r="F342" s="1" t="inlineStr">
        <is>
          <t>МАКС</t>
        </is>
      </c>
      <c r="G342" s="1" t="inlineStr">
        <is>
          <t>MebelStaf Саратов — шкаф на заказ 1,6 м × 33 500 ₽/пог.м ≈ 53 600 ₽</t>
        </is>
      </c>
      <c r="H342" s="43" t="n">
        <v>53600</v>
      </c>
      <c r="I342" s="43" t="n">
        <v>120000</v>
      </c>
      <c r="J342" s="48" t="n">
        <v>-55.3</v>
      </c>
      <c r="K342" s="1" t="inlineStr">
        <is>
          <t>MebelStaf Саратов (saratov.shkafy-moskva.ru)</t>
        </is>
      </c>
      <c r="L342" s="1" t="inlineStr">
        <is>
          <t>Саратов</t>
        </is>
      </c>
      <c r="M342" s="45" t="inlineStr">
        <is>
          <t>https://saratov.shkafy-moskva.ru/tcat/p-obraznye-shkafy/</t>
        </is>
      </c>
      <c r="N342" s="1" t="inlineStr">
        <is>
          <t>страница</t>
        </is>
      </c>
      <c r="O342" s="1" t="inlineStr">
        <is>
          <t>2026-09-11</t>
        </is>
      </c>
      <c r="P342" s="47" t="inlineStr">
        <is>
          <t>уточнить</t>
        </is>
      </c>
      <c r="Q342" s="1" t="inlineStr">
        <is>
          <t>Расчёт по ставке со страницы (30 500–33 500 ₽/пог.м); замер и материал (МДФ-эмаль дороже) уточнить</t>
        </is>
      </c>
    </row>
    <row r="343">
      <c r="A343" s="1" t="inlineStr">
        <is>
          <t>2_Заезд</t>
        </is>
      </c>
      <c r="B343" s="1" t="n">
        <v>24</v>
      </c>
      <c r="C343" s="1" t="inlineStr">
        <is>
          <t>Детская</t>
        </is>
      </c>
      <c r="D343" s="1" t="inlineStr">
        <is>
          <t>Шкаф</t>
        </is>
      </c>
      <c r="E343" s="1" t="inlineStr">
        <is>
          <t>шт</t>
        </is>
      </c>
      <c r="F343" s="1" t="inlineStr">
        <is>
          <t>ВСЕ</t>
        </is>
      </c>
      <c r="G343" s="1" t="inlineStr">
        <is>
          <t>Авито Саратов — поиск «Шкаф» (новые товары магазинов и объявления)</t>
        </is>
      </c>
      <c r="H343" s="43" t="n"/>
      <c r="I343" s="43" t="n"/>
      <c r="J343" s="44" t="n"/>
      <c r="K343" s="1" t="inlineStr">
        <is>
          <t>Авито Саратов</t>
        </is>
      </c>
      <c r="L343" s="1" t="inlineStr">
        <is>
          <t>Саратов</t>
        </is>
      </c>
      <c r="M343" s="45" t="inlineStr">
        <is>
          <t>https://www.avito.ru/saratov?q=%D0%A8%D0%BA%D0%B0%D1%84</t>
        </is>
      </c>
      <c r="N343" s="1" t="inlineStr">
        <is>
          <t>не проверено</t>
        </is>
      </c>
      <c r="O343" s="1" t="inlineStr">
        <is>
          <t>2026-09-11</t>
        </is>
      </c>
      <c r="P343" s="47" t="inlineStr">
        <is>
          <t>уточнить</t>
        </is>
      </c>
      <c r="Q34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44">
      <c r="A344" s="1" t="inlineStr">
        <is>
          <t>2_Заезд</t>
        </is>
      </c>
      <c r="B344" s="1" t="n">
        <v>25</v>
      </c>
      <c r="C344" s="1" t="inlineStr">
        <is>
          <t>Детская</t>
        </is>
      </c>
      <c r="D344" s="1" t="inlineStr">
        <is>
          <t>Стеллаж / полки</t>
        </is>
      </c>
      <c r="E344" s="1" t="inlineStr">
        <is>
          <t>шт</t>
        </is>
      </c>
      <c r="F344" s="1" t="inlineStr">
        <is>
          <t>МИН</t>
        </is>
      </c>
      <c r="G344" s="1" t="inlineStr">
        <is>
          <t>Hoff Стеллаж Сохо</t>
        </is>
      </c>
      <c r="H344" s="43" t="n">
        <v>2799</v>
      </c>
      <c r="I344" s="43" t="n">
        <v>5000</v>
      </c>
      <c r="J344" s="48" t="n">
        <v>-44</v>
      </c>
      <c r="K344" s="1" t="inlineStr">
        <is>
          <t>Hoff Саратов (Happy Молл, Вольский тракт 2)</t>
        </is>
      </c>
      <c r="L344" s="1" t="inlineStr">
        <is>
          <t>Саратов</t>
        </is>
      </c>
      <c r="M344" s="45" t="inlineStr">
        <is>
          <t>https://hoff.ru/catalog/gostinaya/mebel_dlya_gostinykh/stellazhy/stellazh_sokho_id8104569/?articul=80446095</t>
        </is>
      </c>
      <c r="N344" s="1" t="inlineStr">
        <is>
          <t>сниппет</t>
        </is>
      </c>
      <c r="O344" s="1" t="inlineStr">
        <is>
          <t>2026-09-11</t>
        </is>
      </c>
      <c r="P344" s="46" t="inlineStr">
        <is>
          <t>ок</t>
        </is>
      </c>
      <c r="Q344" s="1" t="inlineStr">
        <is>
          <t>Также Гамма 1 799 ₽, Хотинг 2 599 ₽, Stern 6 999 ₽</t>
        </is>
      </c>
    </row>
    <row r="345">
      <c r="A345" s="1" t="inlineStr">
        <is>
          <t>2_Заезд</t>
        </is>
      </c>
      <c r="B345" s="1" t="n">
        <v>25</v>
      </c>
      <c r="C345" s="1" t="inlineStr">
        <is>
          <t>Детская</t>
        </is>
      </c>
      <c r="D345" s="1" t="inlineStr">
        <is>
          <t>Стеллаж / полки</t>
        </is>
      </c>
      <c r="E345" s="1" t="inlineStr">
        <is>
          <t>шт</t>
        </is>
      </c>
      <c r="F345" s="1" t="inlineStr">
        <is>
          <t>СРЕД</t>
        </is>
      </c>
      <c r="G345" s="1" t="inlineStr">
        <is>
          <t>Hoff Стеллаж СТ</t>
        </is>
      </c>
      <c r="H345" s="43" t="n">
        <v>12799</v>
      </c>
      <c r="I345" s="43" t="n">
        <v>15000</v>
      </c>
      <c r="J345" s="44" t="n">
        <v>-14.7</v>
      </c>
      <c r="K345" s="1" t="inlineStr">
        <is>
          <t>Hoff Саратов (Happy Молл, Вольский тракт 2)</t>
        </is>
      </c>
      <c r="L345" s="1" t="inlineStr">
        <is>
          <t>Саратов</t>
        </is>
      </c>
      <c r="M345" s="45" t="inlineStr">
        <is>
          <t>https://hoff.ru/catalog/gostinaya/mebel_dlya_gostinykh/stellazhy/stellazh_st_id7581553/?articul=80397921</t>
        </is>
      </c>
      <c r="N345" s="1" t="inlineStr">
        <is>
          <t>сниппет</t>
        </is>
      </c>
      <c r="O345" s="1" t="inlineStr">
        <is>
          <t>2026-09-11</t>
        </is>
      </c>
      <c r="P345" s="46" t="inlineStr">
        <is>
          <t>ок</t>
        </is>
      </c>
      <c r="Q345" s="1" t="inlineStr">
        <is>
          <t>Orion 9 999 ₽, Эванс 15 999 ₽</t>
        </is>
      </c>
    </row>
    <row r="346">
      <c r="A346" s="1" t="inlineStr">
        <is>
          <t>2_Заезд</t>
        </is>
      </c>
      <c r="B346" s="1" t="n">
        <v>25</v>
      </c>
      <c r="C346" s="1" t="inlineStr">
        <is>
          <t>Детская</t>
        </is>
      </c>
      <c r="D346" s="1" t="inlineStr">
        <is>
          <t>Стеллаж / полки</t>
        </is>
      </c>
      <c r="E346" s="1" t="inlineStr">
        <is>
          <t>шт</t>
        </is>
      </c>
      <c r="F346" s="1" t="inlineStr">
        <is>
          <t>МАКС</t>
        </is>
      </c>
      <c r="G346" s="1" t="inlineStr">
        <is>
          <t>Hoff Стеллаж Cubic</t>
        </is>
      </c>
      <c r="H346" s="43" t="n">
        <v>43099</v>
      </c>
      <c r="I346" s="43" t="n">
        <v>40000</v>
      </c>
      <c r="J346" s="44" t="n">
        <v>7.7</v>
      </c>
      <c r="K346" s="1" t="inlineStr">
        <is>
          <t>Hoff Саратов (Happy Молл, Вольский тракт 2)</t>
        </is>
      </c>
      <c r="L346" s="1" t="inlineStr">
        <is>
          <t>Саратов</t>
        </is>
      </c>
      <c r="M346" s="45" t="inlineStr">
        <is>
          <t>https://hoff.ru/catalog/gostinaya/mebel_dlya_gostinykh/stellazhy/stellazh_cubic_id9134797/?articul=80557198</t>
        </is>
      </c>
      <c r="N346" s="1" t="inlineStr">
        <is>
          <t>сниппет</t>
        </is>
      </c>
      <c r="O346" s="1" t="inlineStr">
        <is>
          <t>2026-09-11</t>
        </is>
      </c>
      <c r="P346" s="46" t="inlineStr">
        <is>
          <t>ок</t>
        </is>
      </c>
      <c r="Q346" s="1" t="inlineStr"/>
    </row>
    <row r="347">
      <c r="A347" s="1" t="inlineStr">
        <is>
          <t>2_Заезд</t>
        </is>
      </c>
      <c r="B347" s="1" t="n">
        <v>25</v>
      </c>
      <c r="C347" s="1" t="inlineStr">
        <is>
          <t>Детская</t>
        </is>
      </c>
      <c r="D347" s="1" t="inlineStr">
        <is>
          <t>Стеллаж / полки</t>
        </is>
      </c>
      <c r="E347" s="1" t="inlineStr">
        <is>
          <t>шт</t>
        </is>
      </c>
      <c r="F347" s="1" t="inlineStr">
        <is>
          <t>ВСЕ</t>
        </is>
      </c>
      <c r="G347" s="1" t="inlineStr">
        <is>
          <t>Авито Саратов — поиск «Стеллаж / полки» (новые товары магазинов и объявления)</t>
        </is>
      </c>
      <c r="H347" s="43" t="n"/>
      <c r="I347" s="43" t="n"/>
      <c r="J347" s="44" t="n"/>
      <c r="K347" s="1" t="inlineStr">
        <is>
          <t>Авито Саратов</t>
        </is>
      </c>
      <c r="L347" s="1" t="inlineStr">
        <is>
          <t>Саратов</t>
        </is>
      </c>
      <c r="M347" s="45" t="inlineStr">
        <is>
          <t>https://www.avito.ru/saratov?q=%D0%A1%D1%82%D0%B5%D0%BB%D0%BB%D0%B0%D0%B6%20/%20%D0%BF%D0%BE%D0%BB%D0%BA%D0%B8</t>
        </is>
      </c>
      <c r="N347" s="1" t="inlineStr">
        <is>
          <t>не проверено</t>
        </is>
      </c>
      <c r="O347" s="1" t="inlineStr">
        <is>
          <t>2026-09-11</t>
        </is>
      </c>
      <c r="P347" s="47" t="inlineStr">
        <is>
          <t>уточнить</t>
        </is>
      </c>
      <c r="Q34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48">
      <c r="A348" s="1" t="inlineStr">
        <is>
          <t>2_Заезд</t>
        </is>
      </c>
      <c r="B348" s="1" t="n">
        <v>26</v>
      </c>
      <c r="C348" s="1" t="inlineStr">
        <is>
          <t>Детская</t>
        </is>
      </c>
      <c r="D348" s="1" t="inlineStr">
        <is>
          <t>Шторы + карниз</t>
        </is>
      </c>
      <c r="E348" s="1" t="inlineStr">
        <is>
          <t>компл</t>
        </is>
      </c>
      <c r="F348" s="1" t="inlineStr">
        <is>
          <t>МИН</t>
        </is>
      </c>
      <c r="G348" s="1" t="inlineStr">
        <is>
          <t>Лемана ПРО карниз потолочный трёхрядный пластик (от 538 ₽) + Hoff шторы блэкаут готовые 2 × 1 399 ₽</t>
        </is>
      </c>
      <c r="H348" s="43" t="n">
        <v>3336</v>
      </c>
      <c r="I348" s="43" t="n">
        <v>4000</v>
      </c>
      <c r="J348" s="44" t="n">
        <v>-16.6</v>
      </c>
      <c r="K348" s="1" t="inlineStr">
        <is>
          <t>Лемана ПРО Саратов + Hoff Саратов (Happy Молл, Вольский тракт 2)</t>
        </is>
      </c>
      <c r="L348" s="1" t="inlineStr">
        <is>
          <t>Саратов</t>
        </is>
      </c>
      <c r="M348" s="45" t="inlineStr">
        <is>
          <t>https://lemanapro.ru/catalogue/potolochnye-karnizy/trehryadnye/</t>
        </is>
      </c>
      <c r="N348" s="1" t="inlineStr">
        <is>
          <t>сниппет</t>
        </is>
      </c>
      <c r="O348" s="1" t="inlineStr">
        <is>
          <t>2026-09-11</t>
        </is>
      </c>
      <c r="P348" s="47" t="inlineStr">
        <is>
          <t>уточнить</t>
        </is>
      </c>
      <c r="Q348" s="1" t="inlineStr">
        <is>
          <t>Та же сборка, что для спальни (поз. 18); сумма по сниппетам</t>
        </is>
      </c>
    </row>
    <row r="349">
      <c r="A349" s="1" t="inlineStr">
        <is>
          <t>2_Заезд</t>
        </is>
      </c>
      <c r="B349" s="1" t="n">
        <v>26</v>
      </c>
      <c r="C349" s="1" t="inlineStr">
        <is>
          <t>Детская</t>
        </is>
      </c>
      <c r="D349" s="1" t="inlineStr">
        <is>
          <t>Шторы + карниз</t>
        </is>
      </c>
      <c r="E349" s="1" t="inlineStr">
        <is>
          <t>компл</t>
        </is>
      </c>
      <c r="F349" s="1" t="inlineStr">
        <is>
          <t>СРЕД</t>
        </is>
      </c>
      <c r="G349" s="1" t="inlineStr">
        <is>
          <t>ShtoryStore Саратов — пошив штор на заказ (цена по расчёту) + карниз Лемана ПРО трёхрядный алюминий (от 2 108 ₽)</t>
        </is>
      </c>
      <c r="H349" s="43" t="n"/>
      <c r="I349" s="43" t="n">
        <v>12000</v>
      </c>
      <c r="J349" s="44" t="n"/>
      <c r="K349" s="1" t="inlineStr">
        <is>
          <t>Шторы Store Саратов (saratov.shtorystore.ru)</t>
        </is>
      </c>
      <c r="L349" s="1" t="inlineStr">
        <is>
          <t>Саратов</t>
        </is>
      </c>
      <c r="M349" s="45" t="inlineStr">
        <is>
          <t>https://saratov.shtorystore.ru/shtory/na_zakaz/</t>
        </is>
      </c>
      <c r="N349" s="1" t="inlineStr">
        <is>
          <t>не проверено</t>
        </is>
      </c>
      <c r="O349" s="1" t="inlineStr">
        <is>
          <t>2026-09-11</t>
        </is>
      </c>
      <c r="P349" s="47" t="inlineStr">
        <is>
          <t>уточнить</t>
        </is>
      </c>
      <c r="Q349" s="1" t="inlineStr">
        <is>
          <t>Цена пошива онлайн не публикуется</t>
        </is>
      </c>
    </row>
    <row r="350">
      <c r="A350" s="1" t="inlineStr">
        <is>
          <t>2_Заезд</t>
        </is>
      </c>
      <c r="B350" s="1" t="n">
        <v>26</v>
      </c>
      <c r="C350" s="1" t="inlineStr">
        <is>
          <t>Детская</t>
        </is>
      </c>
      <c r="D350" s="1" t="inlineStr">
        <is>
          <t>Шторы + карниз</t>
        </is>
      </c>
      <c r="E350" s="1" t="inlineStr">
        <is>
          <t>компл</t>
        </is>
      </c>
      <c r="F350" s="1" t="inlineStr">
        <is>
          <t>МАКС</t>
        </is>
      </c>
      <c r="G350" s="1" t="inlineStr">
        <is>
          <t>Spacy.ru пошив штор (портьера + тюль) от 19 500 ₽ + карниз</t>
        </is>
      </c>
      <c r="H350" s="43" t="n">
        <v>19500</v>
      </c>
      <c r="I350" s="43" t="n">
        <v>30000</v>
      </c>
      <c r="J350" s="48" t="n">
        <v>-35</v>
      </c>
      <c r="K350" s="1" t="inlineStr">
        <is>
          <t>Спейси (spacy.ru)</t>
        </is>
      </c>
      <c r="L350" s="1" t="inlineStr">
        <is>
          <t>доставка в Саратов</t>
        </is>
      </c>
      <c r="M350" s="45" t="inlineStr">
        <is>
          <t>https://spacy.ru/shtory-v-spalnyu</t>
        </is>
      </c>
      <c r="N350" s="1" t="inlineStr">
        <is>
          <t>сниппет</t>
        </is>
      </c>
      <c r="O350" s="1" t="inlineStr">
        <is>
          <t>2026-09-11</t>
        </is>
      </c>
      <c r="P350" s="47" t="inlineStr">
        <is>
          <t>уточнить</t>
        </is>
      </c>
      <c r="Q350" s="1" t="inlineStr">
        <is>
          <t>«От»-цена московского салона, без карниза</t>
        </is>
      </c>
    </row>
    <row r="351">
      <c r="A351" s="1" t="inlineStr">
        <is>
          <t>2_Заезд</t>
        </is>
      </c>
      <c r="B351" s="1" t="n">
        <v>26</v>
      </c>
      <c r="C351" s="1" t="inlineStr">
        <is>
          <t>Детская</t>
        </is>
      </c>
      <c r="D351" s="1" t="inlineStr">
        <is>
          <t>Шторы + карниз</t>
        </is>
      </c>
      <c r="E351" s="1" t="inlineStr">
        <is>
          <t>компл</t>
        </is>
      </c>
      <c r="F351" s="1" t="inlineStr">
        <is>
          <t>ВСЕ</t>
        </is>
      </c>
      <c r="G351" s="1" t="inlineStr">
        <is>
          <t>Авито Саратов — поиск «Шторы + карниз» (новые товары магазинов и объявления)</t>
        </is>
      </c>
      <c r="H351" s="43" t="n"/>
      <c r="I351" s="43" t="n"/>
      <c r="J351" s="44" t="n"/>
      <c r="K351" s="1" t="inlineStr">
        <is>
          <t>Авито Саратов</t>
        </is>
      </c>
      <c r="L351" s="1" t="inlineStr">
        <is>
          <t>Саратов</t>
        </is>
      </c>
      <c r="M351" s="45" t="inlineStr">
        <is>
          <t>https://www.avito.ru/saratov?q=%D0%A8%D1%82%D0%BE%D1%80%D1%8B%20%2B%20%D0%BA%D0%B0%D1%80%D0%BD%D0%B8%D0%B7</t>
        </is>
      </c>
      <c r="N351" s="1" t="inlineStr">
        <is>
          <t>не проверено</t>
        </is>
      </c>
      <c r="O351" s="1" t="inlineStr">
        <is>
          <t>2026-09-11</t>
        </is>
      </c>
      <c r="P351" s="47" t="inlineStr">
        <is>
          <t>уточнить</t>
        </is>
      </c>
      <c r="Q35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52">
      <c r="A352" s="1" t="inlineStr">
        <is>
          <t>2_Заезд</t>
        </is>
      </c>
      <c r="B352" s="1" t="n">
        <v>27</v>
      </c>
      <c r="C352" s="1" t="inlineStr">
        <is>
          <t>Детская</t>
        </is>
      </c>
      <c r="D352" s="1" t="inlineStr">
        <is>
          <t>Ковёр</t>
        </is>
      </c>
      <c r="E352" s="1" t="inlineStr">
        <is>
          <t>шт</t>
        </is>
      </c>
      <c r="F352" s="1" t="inlineStr">
        <is>
          <t>МИН</t>
        </is>
      </c>
      <c r="G352" s="1" t="inlineStr">
        <is>
          <t>Hoff Ковёр Julia 80×150 см</t>
        </is>
      </c>
      <c r="H352" s="43" t="n">
        <v>4599</v>
      </c>
      <c r="I352" s="43" t="n">
        <v>3000</v>
      </c>
      <c r="J352" s="48" t="n">
        <v>53.3</v>
      </c>
      <c r="K352" s="1" t="inlineStr">
        <is>
          <t>Hoff Саратов (Happy Молл, Вольский тракт 2)</t>
        </is>
      </c>
      <c r="L352" s="1" t="inlineStr">
        <is>
          <t>Саратов</t>
        </is>
      </c>
      <c r="M352" s="45" t="inlineStr">
        <is>
          <t>https://hoff.ru/catalog/tovary_dlya_doma/kovry/sovremennye_kovry/kovyer_julia_id10484811/?articul=80644879</t>
        </is>
      </c>
      <c r="N352" s="1" t="inlineStr">
        <is>
          <t>сниппет</t>
        </is>
      </c>
      <c r="O352" s="1" t="inlineStr">
        <is>
          <t>2026-09-11</t>
        </is>
      </c>
      <c r="P352" s="46" t="inlineStr">
        <is>
          <t>ок</t>
        </is>
      </c>
      <c r="Q352" s="1" t="inlineStr">
        <is>
          <t>Маленький размер. 120×170: «Транс» 3 387 ₽ (niceroomshop, сниппет); Детский мир KAND 160×230 7 263 ₽ (сниппет)</t>
        </is>
      </c>
    </row>
    <row r="353">
      <c r="A353" s="1" t="inlineStr">
        <is>
          <t>2_Заезд</t>
        </is>
      </c>
      <c r="B353" s="1" t="n">
        <v>27</v>
      </c>
      <c r="C353" s="1" t="inlineStr">
        <is>
          <t>Детская</t>
        </is>
      </c>
      <c r="D353" s="1" t="inlineStr">
        <is>
          <t>Ковёр</t>
        </is>
      </c>
      <c r="E353" s="1" t="inlineStr">
        <is>
          <t>шт</t>
        </is>
      </c>
      <c r="F353" s="1" t="inlineStr">
        <is>
          <t>СРЕД</t>
        </is>
      </c>
      <c r="G353" s="1" t="inlineStr">
        <is>
          <t>Hoff Ковёр Creative 160×230 см</t>
        </is>
      </c>
      <c r="H353" s="43" t="n">
        <v>12999</v>
      </c>
      <c r="I353" s="43" t="n">
        <v>10000</v>
      </c>
      <c r="J353" s="44" t="n">
        <v>30</v>
      </c>
      <c r="K353" s="1" t="inlineStr">
        <is>
          <t>Hoff Саратов (Happy Молл, Вольский тракт 2)</t>
        </is>
      </c>
      <c r="L353" s="1" t="inlineStr">
        <is>
          <t>Саратов</t>
        </is>
      </c>
      <c r="M353" s="45" t="inlineStr">
        <is>
          <t>https://hoff.ru/catalog/tovary_dlya_doma/kovry/sovremennye_kovry/kovyer_creative_id10067713/?articul=80619884</t>
        </is>
      </c>
      <c r="N353" s="1" t="inlineStr">
        <is>
          <t>сниппет</t>
        </is>
      </c>
      <c r="O353" s="1" t="inlineStr">
        <is>
          <t>2026-09-11</t>
        </is>
      </c>
      <c r="P353" s="46" t="inlineStr">
        <is>
          <t>ок</t>
        </is>
      </c>
      <c r="Q353" s="1" t="inlineStr">
        <is>
          <t>Genius 160×230 13 999 ₽</t>
        </is>
      </c>
    </row>
    <row r="354">
      <c r="A354" s="1" t="inlineStr">
        <is>
          <t>2_Заезд</t>
        </is>
      </c>
      <c r="B354" s="1" t="n">
        <v>27</v>
      </c>
      <c r="C354" s="1" t="inlineStr">
        <is>
          <t>Детская</t>
        </is>
      </c>
      <c r="D354" s="1" t="inlineStr">
        <is>
          <t>Ковёр</t>
        </is>
      </c>
      <c r="E354" s="1" t="inlineStr">
        <is>
          <t>шт</t>
        </is>
      </c>
      <c r="F354" s="1" t="inlineStr">
        <is>
          <t>МАКС</t>
        </is>
      </c>
      <c r="G354" s="1" t="inlineStr">
        <is>
          <t>INMYROOM ковёр 160×230 новозеландская шерсть + хлопок</t>
        </is>
      </c>
      <c r="H354" s="43" t="n">
        <v>27990</v>
      </c>
      <c r="I354" s="43" t="n">
        <v>30000</v>
      </c>
      <c r="J354" s="44" t="n">
        <v>-6.7</v>
      </c>
      <c r="K354" s="1" t="inlineStr">
        <is>
          <t>INMYROOM (inmyroom.ru)</t>
        </is>
      </c>
      <c r="L354" s="1" t="inlineStr">
        <is>
          <t>доставка в Саратов</t>
        </is>
      </c>
      <c r="M354" s="45" t="inlineStr">
        <is>
          <t>https://www.inmyroom.ru/products/tekstil/kovry/m-sherst</t>
        </is>
      </c>
      <c r="N354" s="1" t="inlineStr">
        <is>
          <t>сниппет</t>
        </is>
      </c>
      <c r="O354" s="1" t="inlineStr">
        <is>
          <t>2026-09-11</t>
        </is>
      </c>
      <c r="P354" s="46" t="inlineStr">
        <is>
          <t>ок</t>
        </is>
      </c>
      <c r="Q354" s="1" t="inlineStr">
        <is>
          <t>Шерсть/джут/хлопок 29 990 ₽; УЮТТА Kerman 21 158 ₽ (сниппет)</t>
        </is>
      </c>
    </row>
    <row r="355">
      <c r="A355" s="1" t="inlineStr">
        <is>
          <t>2_Заезд</t>
        </is>
      </c>
      <c r="B355" s="1" t="n">
        <v>27</v>
      </c>
      <c r="C355" s="1" t="inlineStr">
        <is>
          <t>Детская</t>
        </is>
      </c>
      <c r="D355" s="1" t="inlineStr">
        <is>
          <t>Ковёр</t>
        </is>
      </c>
      <c r="E355" s="1" t="inlineStr">
        <is>
          <t>шт</t>
        </is>
      </c>
      <c r="F355" s="1" t="inlineStr">
        <is>
          <t>ВСЕ</t>
        </is>
      </c>
      <c r="G355" s="1" t="inlineStr">
        <is>
          <t>Авито Саратов — поиск «Ковёр» (новые товары магазинов и объявления)</t>
        </is>
      </c>
      <c r="H355" s="43" t="n"/>
      <c r="I355" s="43" t="n"/>
      <c r="J355" s="44" t="n"/>
      <c r="K355" s="1" t="inlineStr">
        <is>
          <t>Авито Саратов</t>
        </is>
      </c>
      <c r="L355" s="1" t="inlineStr">
        <is>
          <t>Саратов</t>
        </is>
      </c>
      <c r="M355" s="45" t="inlineStr">
        <is>
          <t>https://www.avito.ru/saratov?q=%D0%9A%D0%BE%D0%B2%D1%91%D1%80</t>
        </is>
      </c>
      <c r="N355" s="1" t="inlineStr">
        <is>
          <t>не проверено</t>
        </is>
      </c>
      <c r="O355" s="1" t="inlineStr">
        <is>
          <t>2026-09-11</t>
        </is>
      </c>
      <c r="P355" s="47" t="inlineStr">
        <is>
          <t>уточнить</t>
        </is>
      </c>
      <c r="Q35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56">
      <c r="A356" s="1" t="inlineStr">
        <is>
          <t>2_Заезд</t>
        </is>
      </c>
      <c r="B356" s="1" t="n">
        <v>28</v>
      </c>
      <c r="C356" s="1" t="inlineStr">
        <is>
          <t>Детская</t>
        </is>
      </c>
      <c r="D356" s="1" t="inlineStr">
        <is>
          <t>Текстиль (постельное, подушки)</t>
        </is>
      </c>
      <c r="E356" s="1" t="inlineStr">
        <is>
          <t>компл</t>
        </is>
      </c>
      <c r="F356" s="1" t="inlineStr">
        <is>
          <t>МИН</t>
        </is>
      </c>
      <c r="G356" s="1" t="inlineStr">
        <is>
          <t>Аскона КПБ 1,5-сп Natural Balance (поплин)</t>
        </is>
      </c>
      <c r="H356" s="43" t="n">
        <v>2899</v>
      </c>
      <c r="I356" s="43" t="n">
        <v>3000</v>
      </c>
      <c r="J356" s="44" t="n">
        <v>-3.4</v>
      </c>
      <c r="K356" s="1" t="inlineStr">
        <is>
          <t>Аскона (askona.ru)</t>
        </is>
      </c>
      <c r="L356" s="1" t="inlineStr">
        <is>
          <t>Саратов</t>
        </is>
      </c>
      <c r="M356" s="45" t="inlineStr">
        <is>
          <t>https://www.askona.ru/tekstil/postelnoe-beljo/</t>
        </is>
      </c>
      <c r="N356" s="1" t="inlineStr">
        <is>
          <t>страница</t>
        </is>
      </c>
      <c r="O356" s="1" t="inlineStr">
        <is>
          <t>2026-09-11</t>
        </is>
      </c>
      <c r="P356" s="46" t="inlineStr">
        <is>
          <t>ок</t>
        </is>
      </c>
      <c r="Q356" s="1" t="inlineStr">
        <is>
          <t>Только КПБ, без подушки/одеяла</t>
        </is>
      </c>
    </row>
    <row r="357">
      <c r="A357" s="1" t="inlineStr">
        <is>
          <t>2_Заезд</t>
        </is>
      </c>
      <c r="B357" s="1" t="n">
        <v>28</v>
      </c>
      <c r="C357" s="1" t="inlineStr">
        <is>
          <t>Детская</t>
        </is>
      </c>
      <c r="D357" s="1" t="inlineStr">
        <is>
          <t>Текстиль (постельное, подушки)</t>
        </is>
      </c>
      <c r="E357" s="1" t="inlineStr">
        <is>
          <t>компл</t>
        </is>
      </c>
      <c r="F357" s="1" t="inlineStr">
        <is>
          <t>СРЕД</t>
        </is>
      </c>
      <c r="G357" s="1" t="inlineStr">
        <is>
          <t>Аскона КПБ 1,5-сп Maco Sateen 2.0 (сатин)</t>
        </is>
      </c>
      <c r="H357" s="43" t="n">
        <v>7099</v>
      </c>
      <c r="I357" s="43" t="n">
        <v>8000</v>
      </c>
      <c r="J357" s="44" t="n">
        <v>-11.3</v>
      </c>
      <c r="K357" s="1" t="inlineStr">
        <is>
          <t>Аскона (askona.ru)</t>
        </is>
      </c>
      <c r="L357" s="1" t="inlineStr">
        <is>
          <t>Саратов</t>
        </is>
      </c>
      <c r="M357" s="45" t="inlineStr">
        <is>
          <t>https://www.askona.ru/tekstil/postelnoe-beljo/</t>
        </is>
      </c>
      <c r="N357" s="1" t="inlineStr">
        <is>
          <t>страница</t>
        </is>
      </c>
      <c r="O357" s="1" t="inlineStr">
        <is>
          <t>2026-09-11</t>
        </is>
      </c>
      <c r="P357" s="46" t="inlineStr">
        <is>
          <t>ок</t>
        </is>
      </c>
      <c r="Q357" s="1" t="inlineStr">
        <is>
          <t>Lite Trend 3 999 ₽, Stripe 2.0 4 999 ₽. Подушка/одеяло 1,5-сп не оценены</t>
        </is>
      </c>
    </row>
    <row r="358">
      <c r="A358" s="1" t="inlineStr">
        <is>
          <t>2_Заезд</t>
        </is>
      </c>
      <c r="B358" s="1" t="n">
        <v>28</v>
      </c>
      <c r="C358" s="1" t="inlineStr">
        <is>
          <t>Детская</t>
        </is>
      </c>
      <c r="D358" s="1" t="inlineStr">
        <is>
          <t>Текстиль (постельное, подушки)</t>
        </is>
      </c>
      <c r="E358" s="1" t="inlineStr">
        <is>
          <t>компл</t>
        </is>
      </c>
      <c r="F358" s="1" t="inlineStr">
        <is>
          <t>МАКС</t>
        </is>
      </c>
      <c r="G358" s="1" t="inlineStr">
        <is>
          <t>Аскона КПБ 1,5-сп Home 7 299 ₽ (+ подушка/одеяло не оценены)</t>
        </is>
      </c>
      <c r="H358" s="43" t="n">
        <v>7299</v>
      </c>
      <c r="I358" s="43" t="n">
        <v>20000</v>
      </c>
      <c r="J358" s="48" t="n">
        <v>-63.5</v>
      </c>
      <c r="K358" s="1" t="inlineStr">
        <is>
          <t>Аскона (askona.ru)</t>
        </is>
      </c>
      <c r="L358" s="1" t="inlineStr">
        <is>
          <t>Саратов</t>
        </is>
      </c>
      <c r="M358" s="45" t="inlineStr">
        <is>
          <t>https://www.askona.ru/tekstil/postelnoe-beljo/</t>
        </is>
      </c>
      <c r="N358" s="1" t="inlineStr">
        <is>
          <t>страница</t>
        </is>
      </c>
      <c r="O358" s="1" t="inlineStr">
        <is>
          <t>2026-09-11</t>
        </is>
      </c>
      <c r="P358" s="47" t="inlineStr">
        <is>
          <t>уточнить</t>
        </is>
      </c>
      <c r="Q358" s="1" t="inlineStr">
        <is>
          <t>Самый дорогой 1,5-сп КПБ на странице; премиум-подушки/одеяла отдельно не найдены — реальный МАКС выше</t>
        </is>
      </c>
    </row>
    <row r="359">
      <c r="A359" s="1" t="inlineStr">
        <is>
          <t>2_Заезд</t>
        </is>
      </c>
      <c r="B359" s="1" t="n">
        <v>28</v>
      </c>
      <c r="C359" s="1" t="inlineStr">
        <is>
          <t>Детская</t>
        </is>
      </c>
      <c r="D359" s="1" t="inlineStr">
        <is>
          <t>Текстиль (постельное, подушки)</t>
        </is>
      </c>
      <c r="E359" s="1" t="inlineStr">
        <is>
          <t>компл</t>
        </is>
      </c>
      <c r="F359" s="1" t="inlineStr">
        <is>
          <t>ВСЕ</t>
        </is>
      </c>
      <c r="G359" s="1" t="inlineStr">
        <is>
          <t>Авито Саратов — поиск «Текстиль» (новые товары магазинов и объявления)</t>
        </is>
      </c>
      <c r="H359" s="43" t="n"/>
      <c r="I359" s="43" t="n"/>
      <c r="J359" s="44" t="n"/>
      <c r="K359" s="1" t="inlineStr">
        <is>
          <t>Авито Саратов</t>
        </is>
      </c>
      <c r="L359" s="1" t="inlineStr">
        <is>
          <t>Саратов</t>
        </is>
      </c>
      <c r="M359" s="45" t="inlineStr">
        <is>
          <t>https://www.avito.ru/saratov?q=%D0%A2%D0%B5%D0%BA%D1%81%D1%82%D0%B8%D0%BB%D1%8C</t>
        </is>
      </c>
      <c r="N359" s="1" t="inlineStr">
        <is>
          <t>не проверено</t>
        </is>
      </c>
      <c r="O359" s="1" t="inlineStr">
        <is>
          <t>2026-09-11</t>
        </is>
      </c>
      <c r="P359" s="47" t="inlineStr">
        <is>
          <t>уточнить</t>
        </is>
      </c>
      <c r="Q35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60">
      <c r="A360" s="1" t="inlineStr">
        <is>
          <t>2_Заезд</t>
        </is>
      </c>
      <c r="B360" s="1" t="n">
        <v>29</v>
      </c>
      <c r="C360" s="1" t="inlineStr">
        <is>
          <t>Детская</t>
        </is>
      </c>
      <c r="D360" s="1" t="inlineStr">
        <is>
          <t>Освещение (настольная лампа, ночник)</t>
        </is>
      </c>
      <c r="E360" s="1" t="inlineStr">
        <is>
          <t>компл</t>
        </is>
      </c>
      <c r="F360" s="1" t="inlineStr">
        <is>
          <t>МИН</t>
        </is>
      </c>
      <c r="G360" s="1" t="inlineStr">
        <is>
          <t>Hoff настольная лампа NT 2077A 899 ₽ + ночник Moonlight Owl 199 ₽</t>
        </is>
      </c>
      <c r="H360" s="43" t="n">
        <v>1098</v>
      </c>
      <c r="I360" s="43" t="n">
        <v>2000</v>
      </c>
      <c r="J360" s="48" t="n">
        <v>-45.1</v>
      </c>
      <c r="K360" s="1" t="inlineStr">
        <is>
          <t>Hoff Саратов (Happy Молл, Вольский тракт 2)</t>
        </is>
      </c>
      <c r="L360" s="1" t="inlineStr">
        <is>
          <t>Саратов</t>
        </is>
      </c>
      <c r="M360" s="45" t="inlineStr">
        <is>
          <t>https://hoff.ru/catalog/tovary_dlya_doma/osveschenie/detskie_svetilniki/nochniki/</t>
        </is>
      </c>
      <c r="N360" s="1" t="inlineStr">
        <is>
          <t>сниппет</t>
        </is>
      </c>
      <c r="O360" s="1" t="inlineStr">
        <is>
          <t>2026-09-11</t>
        </is>
      </c>
      <c r="P360" s="46" t="inlineStr">
        <is>
          <t>ок</t>
        </is>
      </c>
      <c r="Q360" s="1" t="inlineStr">
        <is>
          <t>Сумма по сниппету раздела детских светильников Hoff</t>
        </is>
      </c>
    </row>
    <row r="361">
      <c r="A361" s="1" t="inlineStr">
        <is>
          <t>2_Заезд</t>
        </is>
      </c>
      <c r="B361" s="1" t="n">
        <v>29</v>
      </c>
      <c r="C361" s="1" t="inlineStr">
        <is>
          <t>Детская</t>
        </is>
      </c>
      <c r="D361" s="1" t="inlineStr">
        <is>
          <t>Освещение (настольная лампа, ночник)</t>
        </is>
      </c>
      <c r="E361" s="1" t="inlineStr">
        <is>
          <t>компл</t>
        </is>
      </c>
      <c r="F361" s="1" t="inlineStr">
        <is>
          <t>СРЕД</t>
        </is>
      </c>
      <c r="G361" s="1" t="inlineStr">
        <is>
          <t>Hoff настольная лампа TL-320W 3 299 ₽ + светильник SMART Dog 999 ₽</t>
        </is>
      </c>
      <c r="H361" s="43" t="n">
        <v>4298</v>
      </c>
      <c r="I361" s="43" t="n">
        <v>6000</v>
      </c>
      <c r="J361" s="44" t="n">
        <v>-28.4</v>
      </c>
      <c r="K361" s="1" t="inlineStr">
        <is>
          <t>Hoff Саратов (Happy Молл, Вольский тракт 2)</t>
        </is>
      </c>
      <c r="L361" s="1" t="inlineStr">
        <is>
          <t>Саратов</t>
        </is>
      </c>
      <c r="M361" s="45" t="inlineStr">
        <is>
          <t>https://hoff.ru/catalog/tovary_dlya_doma/osveschenie/detskie_svetilniki/nastolnye_lampy/</t>
        </is>
      </c>
      <c r="N361" s="1" t="inlineStr">
        <is>
          <t>сниппет</t>
        </is>
      </c>
      <c r="O361" s="1" t="inlineStr">
        <is>
          <t>2026-09-11</t>
        </is>
      </c>
      <c r="P361" s="46" t="inlineStr">
        <is>
          <t>ок</t>
        </is>
      </c>
      <c r="Q361" s="1" t="inlineStr">
        <is>
          <t>Лемана ПРО: настольные ФОТОН от 1 236 ₽ (сниппет)</t>
        </is>
      </c>
    </row>
    <row r="362">
      <c r="A362" s="1" t="inlineStr">
        <is>
          <t>2_Заезд</t>
        </is>
      </c>
      <c r="B362" s="1" t="n">
        <v>29</v>
      </c>
      <c r="C362" s="1" t="inlineStr">
        <is>
          <t>Детская</t>
        </is>
      </c>
      <c r="D362" s="1" t="inlineStr">
        <is>
          <t>Освещение (настольная лампа, ночник)</t>
        </is>
      </c>
      <c r="E362" s="1" t="inlineStr">
        <is>
          <t>компл</t>
        </is>
      </c>
      <c r="F362" s="1" t="inlineStr">
        <is>
          <t>МАКС</t>
        </is>
      </c>
      <c r="G362" s="1" t="inlineStr">
        <is>
          <t>Премиум настольная лампа + ночник (Лемана ПРО / Hoff) — модель не подтверждена</t>
        </is>
      </c>
      <c r="H362" s="43" t="n"/>
      <c r="I362" s="43" t="n">
        <v>15000</v>
      </c>
      <c r="J362" s="44" t="n"/>
      <c r="K362" s="1" t="inlineStr">
        <is>
          <t>Лемана ПРО Саратов</t>
        </is>
      </c>
      <c r="L362" s="1" t="inlineStr">
        <is>
          <t>Саратов</t>
        </is>
      </c>
      <c r="M362" s="45" t="inlineStr">
        <is>
          <t>https://lemanapro.ru/catalogue/nastolnye-lampy/prikrovatnye/</t>
        </is>
      </c>
      <c r="N362" s="1" t="inlineStr">
        <is>
          <t>не проверено</t>
        </is>
      </c>
      <c r="O362" s="1" t="inlineStr">
        <is>
          <t>2026-09-11</t>
        </is>
      </c>
      <c r="P362" s="47" t="inlineStr">
        <is>
          <t>уточнить</t>
        </is>
      </c>
      <c r="Q362" s="1" t="inlineStr">
        <is>
          <t>lemanapro.ru блокирует WebFetch (401); в сниппетах Hoff премиум-детских ламп нет</t>
        </is>
      </c>
    </row>
    <row r="363">
      <c r="A363" s="1" t="inlineStr">
        <is>
          <t>2_Заезд</t>
        </is>
      </c>
      <c r="B363" s="1" t="n">
        <v>29</v>
      </c>
      <c r="C363" s="1" t="inlineStr">
        <is>
          <t>Детская</t>
        </is>
      </c>
      <c r="D363" s="1" t="inlineStr">
        <is>
          <t>Освещение (настольная лампа, ночник)</t>
        </is>
      </c>
      <c r="E363" s="1" t="inlineStr">
        <is>
          <t>компл</t>
        </is>
      </c>
      <c r="F363" s="1" t="inlineStr">
        <is>
          <t>ВСЕ</t>
        </is>
      </c>
      <c r="G363" s="1" t="inlineStr">
        <is>
          <t>Авито Саратов — поиск «Освещение» (новые товары магазинов и объявления)</t>
        </is>
      </c>
      <c r="H363" s="43" t="n"/>
      <c r="I363" s="43" t="n"/>
      <c r="J363" s="44" t="n"/>
      <c r="K363" s="1" t="inlineStr">
        <is>
          <t>Авито Саратов</t>
        </is>
      </c>
      <c r="L363" s="1" t="inlineStr">
        <is>
          <t>Саратов</t>
        </is>
      </c>
      <c r="M363" s="45" t="inlineStr">
        <is>
          <t>https://www.avito.ru/saratov?q=%D0%9E%D1%81%D0%B2%D0%B5%D1%89%D0%B5%D0%BD%D0%B8%D0%B5</t>
        </is>
      </c>
      <c r="N363" s="1" t="inlineStr">
        <is>
          <t>не проверено</t>
        </is>
      </c>
      <c r="O363" s="1" t="inlineStr">
        <is>
          <t>2026-09-11</t>
        </is>
      </c>
      <c r="P363" s="47" t="inlineStr">
        <is>
          <t>уточнить</t>
        </is>
      </c>
      <c r="Q36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64">
      <c r="A364" s="1" t="inlineStr">
        <is>
          <t>2_Заезд</t>
        </is>
      </c>
      <c r="B364" s="1" t="n">
        <v>30</v>
      </c>
      <c r="C364" s="1" t="inlineStr">
        <is>
          <t>Зал</t>
        </is>
      </c>
      <c r="D364" s="1" t="inlineStr">
        <is>
          <t>Диван</t>
        </is>
      </c>
      <c r="E364" s="1" t="inlineStr">
        <is>
          <t>шт</t>
        </is>
      </c>
      <c r="F364" s="1" t="inlineStr">
        <is>
          <t>МИН</t>
        </is>
      </c>
      <c r="G364" s="1" t="inlineStr">
        <is>
          <t>Много Мебели «Престон» Велюр Монолит, прямой еврокнижка</t>
        </is>
      </c>
      <c r="H364" s="43" t="n">
        <v>34999</v>
      </c>
      <c r="I364" s="43" t="n">
        <v>25000</v>
      </c>
      <c r="J364" s="48" t="n">
        <v>40</v>
      </c>
      <c r="K364" s="1" t="inlineStr">
        <is>
          <t>Много Мебели</t>
        </is>
      </c>
      <c r="L364" s="1" t="inlineStr">
        <is>
          <t>Саратов</t>
        </is>
      </c>
      <c r="M364" s="45" t="inlineStr">
        <is>
          <t>https://mnogomebeli.com/divany/preston/preston-monolit/</t>
        </is>
      </c>
      <c r="N364" s="1" t="inlineStr">
        <is>
          <t>страница</t>
        </is>
      </c>
      <c r="O364" s="1" t="inlineStr">
        <is>
          <t>2026-09-11</t>
        </is>
      </c>
      <c r="P364" s="46" t="inlineStr">
        <is>
          <t>ок</t>
        </is>
      </c>
      <c r="Q364" s="1" t="inlineStr">
        <is>
          <t>Дешевле на главной: «Атланта НПБ 90» рогожка 27 174 ₽ (+8,7%). Hoff закрыт (401).</t>
        </is>
      </c>
    </row>
    <row r="365">
      <c r="A365" s="1" t="inlineStr">
        <is>
          <t>2_Заезд</t>
        </is>
      </c>
      <c r="B365" s="1" t="n">
        <v>30</v>
      </c>
      <c r="C365" s="1" t="inlineStr">
        <is>
          <t>Зал</t>
        </is>
      </c>
      <c r="D365" s="1" t="inlineStr">
        <is>
          <t>Диван</t>
        </is>
      </c>
      <c r="E365" s="1" t="inlineStr">
        <is>
          <t>шт</t>
        </is>
      </c>
      <c r="F365" s="1" t="inlineStr">
        <is>
          <t>СРЕД</t>
        </is>
      </c>
      <c r="G365" s="1" t="inlineStr">
        <is>
          <t>Много Мебели «Босс Про ХЛ» Велюр Алькантара, угловой, независимые пружины, еврокнижка</t>
        </is>
      </c>
      <c r="H365" s="43" t="n">
        <v>69700</v>
      </c>
      <c r="I365" s="43" t="n">
        <v>70000</v>
      </c>
      <c r="J365" s="44" t="n">
        <v>-0.4</v>
      </c>
      <c r="K365" s="1" t="inlineStr">
        <is>
          <t>Много Мебели</t>
        </is>
      </c>
      <c r="L365" s="1" t="inlineStr">
        <is>
          <t>Саратов</t>
        </is>
      </c>
      <c r="M365" s="45" t="inlineStr">
        <is>
          <t>https://mnogomebeli.com/divany/uglovye-divany/uglovoy-divan-boss-xl-alkantara/</t>
        </is>
      </c>
      <c r="N365" s="1" t="inlineStr">
        <is>
          <t>страница</t>
        </is>
      </c>
      <c r="O365" s="1" t="inlineStr">
        <is>
          <t>2026-09-11</t>
        </is>
      </c>
      <c r="P365" s="46" t="inlineStr">
        <is>
          <t>ок</t>
        </is>
      </c>
      <c r="Q365" s="1" t="inlineStr">
        <is>
          <t>Акция −55% от 155 999. Альтернатива дешевле: «Дубай» Велюр Монолит 300 см, НПБ — 52 999 ₽ (−24%).</t>
        </is>
      </c>
    </row>
    <row r="366">
      <c r="A366" s="1" t="inlineStr">
        <is>
          <t>2_Заезд</t>
        </is>
      </c>
      <c r="B366" s="1" t="n">
        <v>30</v>
      </c>
      <c r="C366" s="1" t="inlineStr">
        <is>
          <t>Зал</t>
        </is>
      </c>
      <c r="D366" s="1" t="inlineStr">
        <is>
          <t>Диван</t>
        </is>
      </c>
      <c r="E366" s="1" t="inlineStr">
        <is>
          <t>шт</t>
        </is>
      </c>
      <c r="F366" s="1" t="inlineStr">
        <is>
          <t>МАКС</t>
        </is>
      </c>
      <c r="G366" s="1" t="inlineStr">
        <is>
          <t>Много Мебели «Ричмонд MODOOL MAX» Велюр Royal, модульный</t>
        </is>
      </c>
      <c r="H366" s="43" t="n">
        <v>72996</v>
      </c>
      <c r="I366" s="43" t="n">
        <v>200000</v>
      </c>
      <c r="J366" s="48" t="n">
        <v>-63.5</v>
      </c>
      <c r="K366" s="1" t="inlineStr">
        <is>
          <t>Много Мебели</t>
        </is>
      </c>
      <c r="L366" s="1" t="inlineStr">
        <is>
          <t>Саратов</t>
        </is>
      </c>
      <c r="M366" s="45" t="inlineStr">
        <is>
          <t>https://mnogomebeli.com/divany/divan-richmond/modulnyy-divan-richmond-modool-max-velyur-royal/</t>
        </is>
      </c>
      <c r="N366" s="1" t="inlineStr">
        <is>
          <t>страница</t>
        </is>
      </c>
      <c r="O366" s="1" t="inlineStr">
        <is>
          <t>2026-09-11</t>
        </is>
      </c>
      <c r="P366" s="46" t="inlineStr">
        <is>
          <t>ок</t>
        </is>
      </c>
      <c r="Q366" s="1" t="inlineStr">
        <is>
          <t>Самый дорогой модульный у Много Мебели (было 141 999). Премиум-сегмент (Лазурит, ткань antiklaw) не проверен: lazurit.com отдал пустую страницу.</t>
        </is>
      </c>
    </row>
    <row r="367">
      <c r="A367" s="1" t="inlineStr">
        <is>
          <t>2_Заезд</t>
        </is>
      </c>
      <c r="B367" s="1" t="n">
        <v>30</v>
      </c>
      <c r="C367" s="1" t="inlineStr">
        <is>
          <t>Зал</t>
        </is>
      </c>
      <c r="D367" s="1" t="inlineStr">
        <is>
          <t>Диван</t>
        </is>
      </c>
      <c r="E367" s="1" t="inlineStr">
        <is>
          <t>шт</t>
        </is>
      </c>
      <c r="F367" s="1" t="inlineStr">
        <is>
          <t>ВСЕ</t>
        </is>
      </c>
      <c r="G367" s="1" t="inlineStr">
        <is>
          <t>Авито Саратов — поиск «Диван» (новые товары магазинов и объявления)</t>
        </is>
      </c>
      <c r="H367" s="43" t="n"/>
      <c r="I367" s="43" t="n"/>
      <c r="J367" s="44" t="n"/>
      <c r="K367" s="1" t="inlineStr">
        <is>
          <t>Авито Саратов</t>
        </is>
      </c>
      <c r="L367" s="1" t="inlineStr">
        <is>
          <t>Саратов</t>
        </is>
      </c>
      <c r="M367" s="45" t="inlineStr">
        <is>
          <t>https://www.avito.ru/saratov?q=%D0%94%D0%B8%D0%B2%D0%B0%D0%BD</t>
        </is>
      </c>
      <c r="N367" s="1" t="inlineStr">
        <is>
          <t>не проверено</t>
        </is>
      </c>
      <c r="O367" s="1" t="inlineStr">
        <is>
          <t>2026-09-11</t>
        </is>
      </c>
      <c r="P367" s="47" t="inlineStr">
        <is>
          <t>уточнить</t>
        </is>
      </c>
      <c r="Q36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68">
      <c r="A368" s="1" t="inlineStr">
        <is>
          <t>2_Заезд</t>
        </is>
      </c>
      <c r="B368" s="1" t="n">
        <v>31</v>
      </c>
      <c r="C368" s="1" t="inlineStr">
        <is>
          <t>Зал</t>
        </is>
      </c>
      <c r="D368" s="1" t="inlineStr">
        <is>
          <t>Телевизор</t>
        </is>
      </c>
      <c r="E368" s="1" t="inlineStr">
        <is>
          <t>шт</t>
        </is>
      </c>
      <c r="F368" s="1" t="inlineStr">
        <is>
          <t>МИН</t>
        </is>
      </c>
      <c r="G368" s="1" t="inlineStr">
        <is>
          <t>Xiaomi MI TV A 43 2025, 43" 4K, Android TV</t>
        </is>
      </c>
      <c r="H368" s="43" t="n">
        <v>23990</v>
      </c>
      <c r="I368" s="43" t="n">
        <v>25000</v>
      </c>
      <c r="J368" s="44" t="n">
        <v>-4</v>
      </c>
      <c r="K368" s="1" t="inlineStr">
        <is>
          <t>Ситилинк</t>
        </is>
      </c>
      <c r="L368" s="1" t="inlineStr">
        <is>
          <t>Саратов</t>
        </is>
      </c>
      <c r="M368" s="45" t="inlineStr">
        <is>
          <t>https://www.citilink.ru/product/televizor-led-xiaomi-43-tv-a-43-2025-smart-frameless-chernyi-chernyi-4-2028082/</t>
        </is>
      </c>
      <c r="N368" s="1" t="inlineStr">
        <is>
          <t>сниппет</t>
        </is>
      </c>
      <c r="O368" s="1" t="inlineStr">
        <is>
          <t>2026-09-11</t>
        </is>
      </c>
      <c r="P368" s="46" t="inlineStr">
        <is>
          <t>ок</t>
        </is>
      </c>
      <c r="Q368" s="1" t="inlineStr">
        <is>
          <t>Скидка 11% от 26 990. Haier 43 Smart TV S1 в Ситилинке «нет в наличии». DNS закрыт (401).</t>
        </is>
      </c>
    </row>
    <row r="369">
      <c r="A369" s="1" t="inlineStr">
        <is>
          <t>2_Заезд</t>
        </is>
      </c>
      <c r="B369" s="1" t="n">
        <v>31</v>
      </c>
      <c r="C369" s="1" t="inlineStr">
        <is>
          <t>Зал</t>
        </is>
      </c>
      <c r="D369" s="1" t="inlineStr">
        <is>
          <t>Телевизор</t>
        </is>
      </c>
      <c r="E369" s="1" t="inlineStr">
        <is>
          <t>шт</t>
        </is>
      </c>
      <c r="F369" s="1" t="inlineStr">
        <is>
          <t>СРЕД</t>
        </is>
      </c>
      <c r="G369" s="1" t="inlineStr">
        <is>
          <t>Samsung UE55DU7100UXRU, 55" Crystal UHD 4K, Tizen</t>
        </is>
      </c>
      <c r="H369" s="43" t="n">
        <v>65990</v>
      </c>
      <c r="I369" s="43" t="n">
        <v>55000</v>
      </c>
      <c r="J369" s="44" t="n">
        <v>20</v>
      </c>
      <c r="K369" s="1" t="inlineStr">
        <is>
          <t>Ситилинк</t>
        </is>
      </c>
      <c r="L369" s="1" t="inlineStr">
        <is>
          <t>Саратов</t>
        </is>
      </c>
      <c r="M369" s="45" t="inlineStr">
        <is>
          <t>https://www.citilink.ru/product/televizor-led-samsung-55-ue55du7100uxru-chernyi-4k-ultra-hd-dvb-t-dvb-2014051/</t>
        </is>
      </c>
      <c r="N369" s="1" t="inlineStr">
        <is>
          <t>сниппет</t>
        </is>
      </c>
      <c r="O369" s="1" t="inlineStr">
        <is>
          <t>2026-09-11</t>
        </is>
      </c>
      <c r="P369" s="46" t="inlineStr">
        <is>
          <t>ок</t>
        </is>
      </c>
      <c r="Q369" s="1" t="inlineStr">
        <is>
          <t>Смета занижена на ~11 000 ₽. На странице Ситилинка видны Xiaomi 55" 4K 44 660 ₽ (клубная) — вариант уложиться в 55 000.</t>
        </is>
      </c>
    </row>
    <row r="370">
      <c r="A370" s="1" t="inlineStr">
        <is>
          <t>2_Заезд</t>
        </is>
      </c>
      <c r="B370" s="1" t="n">
        <v>31</v>
      </c>
      <c r="C370" s="1" t="inlineStr">
        <is>
          <t>Зал</t>
        </is>
      </c>
      <c r="D370" s="1" t="inlineStr">
        <is>
          <t>Телевизор</t>
        </is>
      </c>
      <c r="E370" s="1" t="inlineStr">
        <is>
          <t>шт</t>
        </is>
      </c>
      <c r="F370" s="1" t="inlineStr">
        <is>
          <t>МАКС</t>
        </is>
      </c>
      <c r="G370" s="1" t="inlineStr">
        <is>
          <t>LG OLED65C5RLA, 65" OLED 4K, WebOS</t>
        </is>
      </c>
      <c r="H370" s="43" t="n">
        <v>181990</v>
      </c>
      <c r="I370" s="43" t="n">
        <v>150000</v>
      </c>
      <c r="J370" s="44" t="n">
        <v>21.3</v>
      </c>
      <c r="K370" s="1" t="inlineStr">
        <is>
          <t>Ситилинк</t>
        </is>
      </c>
      <c r="L370" s="1" t="inlineStr">
        <is>
          <t>Саратов</t>
        </is>
      </c>
      <c r="M370" s="45" t="inlineStr">
        <is>
          <t>https://www.citilink.ru/product/televizor-oled-lg-65-oled65c5rla-arug-smart-korichnevyi-4k-ultra-hd-12-2097791/</t>
        </is>
      </c>
      <c r="N370" s="1" t="inlineStr">
        <is>
          <t>сниппет</t>
        </is>
      </c>
      <c r="O370" s="1" t="inlineStr">
        <is>
          <t>2026-09-11</t>
        </is>
      </c>
      <c r="P370" s="46" t="inlineStr">
        <is>
          <t>ок</t>
        </is>
      </c>
      <c r="Q370" s="1" t="inlineStr">
        <is>
          <t>Самый дешёвый 65" OLED LG в Ситилинке (B3 — 189 990, C4 — 234 190). Под 150 000 только 65" QLED/LED (TCL 65" 84 999 ₽ на странице каталога).</t>
        </is>
      </c>
    </row>
    <row r="371">
      <c r="A371" s="1" t="inlineStr">
        <is>
          <t>2_Заезд</t>
        </is>
      </c>
      <c r="B371" s="1" t="n">
        <v>31</v>
      </c>
      <c r="C371" s="1" t="inlineStr">
        <is>
          <t>Зал</t>
        </is>
      </c>
      <c r="D371" s="1" t="inlineStr">
        <is>
          <t>Телевизор</t>
        </is>
      </c>
      <c r="E371" s="1" t="inlineStr">
        <is>
          <t>шт</t>
        </is>
      </c>
      <c r="F371" s="1" t="inlineStr">
        <is>
          <t>ВСЕ</t>
        </is>
      </c>
      <c r="G371" s="1" t="inlineStr">
        <is>
          <t>Авито Саратов — поиск «Телевизор» (новые товары магазинов и объявления)</t>
        </is>
      </c>
      <c r="H371" s="43" t="n"/>
      <c r="I371" s="43" t="n"/>
      <c r="J371" s="44" t="n"/>
      <c r="K371" s="1" t="inlineStr">
        <is>
          <t>Авито Саратов</t>
        </is>
      </c>
      <c r="L371" s="1" t="inlineStr">
        <is>
          <t>Саратов</t>
        </is>
      </c>
      <c r="M371" s="45" t="inlineStr">
        <is>
          <t>https://www.avito.ru/saratov?q=%D0%A2%D0%B5%D0%BB%D0%B5%D0%B2%D0%B8%D0%B7%D0%BE%D1%80</t>
        </is>
      </c>
      <c r="N371" s="1" t="inlineStr">
        <is>
          <t>не проверено</t>
        </is>
      </c>
      <c r="O371" s="1" t="inlineStr">
        <is>
          <t>2026-09-11</t>
        </is>
      </c>
      <c r="P371" s="47" t="inlineStr">
        <is>
          <t>уточнить</t>
        </is>
      </c>
      <c r="Q37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72">
      <c r="A372" s="1" t="inlineStr">
        <is>
          <t>2_Заезд</t>
        </is>
      </c>
      <c r="B372" s="1" t="n">
        <v>32</v>
      </c>
      <c r="C372" s="1" t="inlineStr">
        <is>
          <t>Зал</t>
        </is>
      </c>
      <c r="D372" s="1" t="inlineStr">
        <is>
          <t>Кронштейн / ТВ-тумба</t>
        </is>
      </c>
      <c r="E372" s="1" t="inlineStr">
        <is>
          <t>компл</t>
        </is>
      </c>
      <c r="F372" s="1" t="inlineStr">
        <is>
          <t>МИН</t>
        </is>
      </c>
      <c r="G372" s="1" t="inlineStr">
        <is>
          <t>Кронштейн ONKRON NP40, 32–65", наклонно-поворотный</t>
        </is>
      </c>
      <c r="H372" s="43" t="n">
        <v>3390</v>
      </c>
      <c r="I372" s="43" t="n">
        <v>3000</v>
      </c>
      <c r="J372" s="44" t="n">
        <v>13</v>
      </c>
      <c r="K372" s="1" t="inlineStr">
        <is>
          <t>Ситилинк</t>
        </is>
      </c>
      <c r="L372" s="1" t="inlineStr">
        <is>
          <t>Саратов</t>
        </is>
      </c>
      <c r="M372" s="45" t="inlineStr">
        <is>
          <t>https://www.citilink.ru/product/kronshtein-dlya-televizora-onkron-np40-32-65-nastennyi-povorot-i-naklo-1481520/</t>
        </is>
      </c>
      <c r="N372" s="1" t="inlineStr">
        <is>
          <t>сниппет</t>
        </is>
      </c>
      <c r="O372" s="1" t="inlineStr">
        <is>
          <t>2026-09-11</t>
        </is>
      </c>
      <c r="P372" s="46" t="inlineStr">
        <is>
          <t>ок</t>
        </is>
      </c>
      <c r="Q372" s="1" t="inlineStr">
        <is>
          <t>Клубная цена. Только кронштейн, без тумбы; закладная в стену — отдельно (ремонт).</t>
        </is>
      </c>
    </row>
    <row r="373">
      <c r="A373" s="1" t="inlineStr">
        <is>
          <t>2_Заезд</t>
        </is>
      </c>
      <c r="B373" s="1" t="n">
        <v>32</v>
      </c>
      <c r="C373" s="1" t="inlineStr">
        <is>
          <t>Зал</t>
        </is>
      </c>
      <c r="D373" s="1" t="inlineStr">
        <is>
          <t>Кронштейн / ТВ-тумба</t>
        </is>
      </c>
      <c r="E373" s="1" t="inlineStr">
        <is>
          <t>компл</t>
        </is>
      </c>
      <c r="F373" s="1" t="inlineStr">
        <is>
          <t>СРЕД</t>
        </is>
      </c>
      <c r="G373" s="1" t="inlineStr">
        <is>
          <t>ТВ-тумба «Босс Стандарт 140» (Много Мебели) 9 700 + кронштейн ONKRON NP40 3 390</t>
        </is>
      </c>
      <c r="H373" s="43" t="n">
        <v>13090</v>
      </c>
      <c r="I373" s="43" t="n">
        <v>15000</v>
      </c>
      <c r="J373" s="44" t="n">
        <v>-12.7</v>
      </c>
      <c r="K373" s="1" t="inlineStr">
        <is>
          <t>Много Мебели + Ситилинк</t>
        </is>
      </c>
      <c r="L373" s="1" t="inlineStr">
        <is>
          <t>Саратов</t>
        </is>
      </c>
      <c r="M373" s="45" t="inlineStr">
        <is>
          <t>https://mnogomebeli.com/stenki/tumba-tv-boss-standart/</t>
        </is>
      </c>
      <c r="N373" s="1" t="inlineStr">
        <is>
          <t>страница</t>
        </is>
      </c>
      <c r="O373" s="1" t="inlineStr">
        <is>
          <t>2026-09-11</t>
        </is>
      </c>
      <c r="P373" s="46" t="inlineStr">
        <is>
          <t>ок</t>
        </is>
      </c>
      <c r="Q373" s="1" t="inlineStr">
        <is>
          <t>Тумба — со страницы каталога стенок (скидка 12% от 10 999); кронштейн — сниппет Ситилинка.</t>
        </is>
      </c>
    </row>
    <row r="374">
      <c r="A374" s="1" t="inlineStr">
        <is>
          <t>2_Заезд</t>
        </is>
      </c>
      <c r="B374" s="1" t="n">
        <v>32</v>
      </c>
      <c r="C374" s="1" t="inlineStr">
        <is>
          <t>Зал</t>
        </is>
      </c>
      <c r="D374" s="1" t="inlineStr">
        <is>
          <t>Кронштейн / ТВ-тумба</t>
        </is>
      </c>
      <c r="E374" s="1" t="inlineStr">
        <is>
          <t>компл</t>
        </is>
      </c>
      <c r="F374" s="1" t="inlineStr">
        <is>
          <t>МАКС</t>
        </is>
      </c>
      <c r="G374" s="1" t="inlineStr">
        <is>
          <t>Hoff тумба под ТВ «Evans» 148×57×47, массив сосны 16 183 + кронштейн ONKRON NP40 3 390</t>
        </is>
      </c>
      <c r="H374" s="43" t="n">
        <v>19573</v>
      </c>
      <c r="I374" s="43" t="n">
        <v>50000</v>
      </c>
      <c r="J374" s="48" t="n">
        <v>-60.9</v>
      </c>
      <c r="K374" s="1" t="inlineStr">
        <is>
          <t>Hoff + Ситилинк</t>
        </is>
      </c>
      <c r="L374" s="1" t="inlineStr">
        <is>
          <t>Саратов</t>
        </is>
      </c>
      <c r="M374" s="45" t="inlineStr">
        <is>
          <t>https://hoff.ru/catalog/tumby/tumby_pod_tv/</t>
        </is>
      </c>
      <c r="N374" s="1" t="inlineStr">
        <is>
          <t>сниппет</t>
        </is>
      </c>
      <c r="O374" s="1" t="inlineStr">
        <is>
          <t>2026-09-11</t>
        </is>
      </c>
      <c r="P374" s="46" t="inlineStr">
        <is>
          <t>ок</t>
        </is>
      </c>
      <c r="Q374" s="1" t="inlineStr">
        <is>
          <t>Цена Hoff из сниппета (Я.Маркет). Дизайнерские/подвесные тумбы за 50 000 на hoff.ru не видны — сайт закрыт (401); смета МАКС выглядит завышенной.</t>
        </is>
      </c>
    </row>
    <row r="375">
      <c r="A375" s="1" t="inlineStr">
        <is>
          <t>2_Заезд</t>
        </is>
      </c>
      <c r="B375" s="1" t="n">
        <v>32</v>
      </c>
      <c r="C375" s="1" t="inlineStr">
        <is>
          <t>Зал</t>
        </is>
      </c>
      <c r="D375" s="1" t="inlineStr">
        <is>
          <t>Кронштейн / ТВ-тумба</t>
        </is>
      </c>
      <c r="E375" s="1" t="inlineStr">
        <is>
          <t>компл</t>
        </is>
      </c>
      <c r="F375" s="1" t="inlineStr">
        <is>
          <t>ВСЕ</t>
        </is>
      </c>
      <c r="G375" s="1" t="inlineStr">
        <is>
          <t>Авито Саратов — поиск «Кронштейн / ТВ-тумба» (новые товары магазинов и объявления)</t>
        </is>
      </c>
      <c r="H375" s="43" t="n"/>
      <c r="I375" s="43" t="n"/>
      <c r="J375" s="44" t="n"/>
      <c r="K375" s="1" t="inlineStr">
        <is>
          <t>Авито Саратов</t>
        </is>
      </c>
      <c r="L375" s="1" t="inlineStr">
        <is>
          <t>Саратов</t>
        </is>
      </c>
      <c r="M375" s="45" t="inlineStr">
        <is>
          <t>https://www.avito.ru/saratov?q=%D0%9A%D1%80%D0%BE%D0%BD%D1%88%D1%82%D0%B5%D0%B9%D0%BD%20/%20%D0%A2%D0%92-%D1%82%D1%83%D0%BC%D0%B1%D0%B0</t>
        </is>
      </c>
      <c r="N375" s="1" t="inlineStr">
        <is>
          <t>не проверено</t>
        </is>
      </c>
      <c r="O375" s="1" t="inlineStr">
        <is>
          <t>2026-09-11</t>
        </is>
      </c>
      <c r="P375" s="47" t="inlineStr">
        <is>
          <t>уточнить</t>
        </is>
      </c>
      <c r="Q37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76">
      <c r="A376" s="1" t="inlineStr">
        <is>
          <t>2_Заезд</t>
        </is>
      </c>
      <c r="B376" s="1" t="n">
        <v>33</v>
      </c>
      <c r="C376" s="1" t="inlineStr">
        <is>
          <t>Зал</t>
        </is>
      </c>
      <c r="D376" s="1" t="inlineStr">
        <is>
          <t>Журнальный стол</t>
        </is>
      </c>
      <c r="E376" s="1" t="inlineStr">
        <is>
          <t>шт</t>
        </is>
      </c>
      <c r="F376" s="1" t="inlineStr">
        <is>
          <t>МИН</t>
        </is>
      </c>
      <c r="G376" s="1" t="inlineStr">
        <is>
          <t>Hoff журнальный стол «Podium II»</t>
        </is>
      </c>
      <c r="H376" s="43" t="n">
        <v>5999</v>
      </c>
      <c r="I376" s="43" t="n">
        <v>3000</v>
      </c>
      <c r="J376" s="48" t="n">
        <v>100</v>
      </c>
      <c r="K376" s="1" t="inlineStr">
        <is>
          <t>Hoff</t>
        </is>
      </c>
      <c r="L376" s="1" t="inlineStr">
        <is>
          <t>Саратов</t>
        </is>
      </c>
      <c r="M376" s="45" t="inlineStr">
        <is>
          <t>https://hoff.ru/catalog/stoly/zhurnalnye-stoliki/</t>
        </is>
      </c>
      <c r="N376" s="1" t="inlineStr">
        <is>
          <t>сниппет</t>
        </is>
      </c>
      <c r="O376" s="1" t="inlineStr">
        <is>
          <t>2026-09-11</t>
        </is>
      </c>
      <c r="P376" s="46" t="inlineStr">
        <is>
          <t>ок</t>
        </is>
      </c>
      <c r="Q376" s="1" t="inlineStr">
        <is>
          <t>Сниппет: на Hoff журнальные столы «от 999 ₽» (модель не видна) — за 3 000 уложиться реально. Много Мебели: стол-приставка Босс ХО 6 600 ₽ (страница).</t>
        </is>
      </c>
    </row>
    <row r="377">
      <c r="A377" s="1" t="inlineStr">
        <is>
          <t>2_Заезд</t>
        </is>
      </c>
      <c r="B377" s="1" t="n">
        <v>33</v>
      </c>
      <c r="C377" s="1" t="inlineStr">
        <is>
          <t>Зал</t>
        </is>
      </c>
      <c r="D377" s="1" t="inlineStr">
        <is>
          <t>Журнальный стол</t>
        </is>
      </c>
      <c r="E377" s="1" t="inlineStr">
        <is>
          <t>шт</t>
        </is>
      </c>
      <c r="F377" s="1" t="inlineStr">
        <is>
          <t>СРЕД</t>
        </is>
      </c>
      <c r="G377" s="1" t="inlineStr">
        <is>
          <t>Много Мебели «Стол журнальный Люкс» Сонома</t>
        </is>
      </c>
      <c r="H377" s="43" t="n">
        <v>9999</v>
      </c>
      <c r="I377" s="43" t="n">
        <v>12000</v>
      </c>
      <c r="J377" s="44" t="n">
        <v>-16.7</v>
      </c>
      <c r="K377" s="1" t="inlineStr">
        <is>
          <t>Много Мебели</t>
        </is>
      </c>
      <c r="L377" s="1" t="inlineStr">
        <is>
          <t>Саратов</t>
        </is>
      </c>
      <c r="M377" s="45" t="inlineStr">
        <is>
          <t>https://mnogomebeli.com/stoly/zhurnalnyy/stol-zhurnalnyy-lux/!stol-zhurnalnyy-lux-sonoma/</t>
        </is>
      </c>
      <c r="N377" s="1" t="inlineStr">
        <is>
          <t>страница</t>
        </is>
      </c>
      <c r="O377" s="1" t="inlineStr">
        <is>
          <t>2026-09-11</t>
        </is>
      </c>
      <c r="P377" s="46" t="inlineStr">
        <is>
          <t>ок</t>
        </is>
      </c>
      <c r="Q377" s="1" t="inlineStr">
        <is>
          <t>Скидка 38% от 15 999; есть в венге и крафт.</t>
        </is>
      </c>
    </row>
    <row r="378">
      <c r="A378" s="1" t="inlineStr">
        <is>
          <t>2_Заезд</t>
        </is>
      </c>
      <c r="B378" s="1" t="n">
        <v>33</v>
      </c>
      <c r="C378" s="1" t="inlineStr">
        <is>
          <t>Зал</t>
        </is>
      </c>
      <c r="D378" s="1" t="inlineStr">
        <is>
          <t>Журнальный стол</t>
        </is>
      </c>
      <c r="E378" s="1" t="inlineStr">
        <is>
          <t>шт</t>
        </is>
      </c>
      <c r="F378" s="1" t="inlineStr">
        <is>
          <t>МАКС</t>
        </is>
      </c>
      <c r="G378" s="1" t="inlineStr">
        <is>
          <t>Много Мебели «Стол трансформер Люкс» (журнальный → обеденный)</t>
        </is>
      </c>
      <c r="H378" s="43" t="n">
        <v>13999</v>
      </c>
      <c r="I378" s="43" t="n">
        <v>40000</v>
      </c>
      <c r="J378" s="48" t="n">
        <v>-65</v>
      </c>
      <c r="K378" s="1" t="inlineStr">
        <is>
          <t>Много Мебели</t>
        </is>
      </c>
      <c r="L378" s="1" t="inlineStr">
        <is>
          <t>Саратов</t>
        </is>
      </c>
      <c r="M378" s="45" t="inlineStr">
        <is>
          <t>https://mnogomebeli.com/stoly/zhurnalnyy/stol-transformer-lux/!stol-transformer-venge/</t>
        </is>
      </c>
      <c r="N378" s="1" t="inlineStr">
        <is>
          <t>страница</t>
        </is>
      </c>
      <c r="O378" s="1" t="inlineStr">
        <is>
          <t>2026-09-11</t>
        </is>
      </c>
      <c r="P378" s="46" t="inlineStr">
        <is>
          <t>ок</t>
        </is>
      </c>
      <c r="Q378" s="1" t="inlineStr">
        <is>
          <t>Самый дорогой журнальный у Много Мебели. Дизайнерские столы за 40 000 (Hoff/Лазурит) не проверены — сайты закрыты.</t>
        </is>
      </c>
    </row>
    <row r="379">
      <c r="A379" s="1" t="inlineStr">
        <is>
          <t>2_Заезд</t>
        </is>
      </c>
      <c r="B379" s="1" t="n">
        <v>33</v>
      </c>
      <c r="C379" s="1" t="inlineStr">
        <is>
          <t>Зал</t>
        </is>
      </c>
      <c r="D379" s="1" t="inlineStr">
        <is>
          <t>Журнальный стол</t>
        </is>
      </c>
      <c r="E379" s="1" t="inlineStr">
        <is>
          <t>шт</t>
        </is>
      </c>
      <c r="F379" s="1" t="inlineStr">
        <is>
          <t>ВСЕ</t>
        </is>
      </c>
      <c r="G379" s="1" t="inlineStr">
        <is>
          <t>Авито Саратов — поиск «Журнальный стол» (новые товары магазинов и объявления)</t>
        </is>
      </c>
      <c r="H379" s="43" t="n"/>
      <c r="I379" s="43" t="n"/>
      <c r="J379" s="44" t="n"/>
      <c r="K379" s="1" t="inlineStr">
        <is>
          <t>Авито Саратов</t>
        </is>
      </c>
      <c r="L379" s="1" t="inlineStr">
        <is>
          <t>Саратов</t>
        </is>
      </c>
      <c r="M379" s="45" t="inlineStr">
        <is>
          <t>https://www.avito.ru/saratov?q=%D0%96%D1%83%D1%80%D0%BD%D0%B0%D0%BB%D1%8C%D0%BD%D1%8B%D0%B9%20%D1%81%D1%82%D0%BE%D0%BB</t>
        </is>
      </c>
      <c r="N379" s="1" t="inlineStr">
        <is>
          <t>не проверено</t>
        </is>
      </c>
      <c r="O379" s="1" t="inlineStr">
        <is>
          <t>2026-09-11</t>
        </is>
      </c>
      <c r="P379" s="47" t="inlineStr">
        <is>
          <t>уточнить</t>
        </is>
      </c>
      <c r="Q37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80">
      <c r="A380" s="1" t="inlineStr">
        <is>
          <t>2_Заезд</t>
        </is>
      </c>
      <c r="B380" s="1" t="n">
        <v>34</v>
      </c>
      <c r="C380" s="1" t="inlineStr">
        <is>
          <t>Зал</t>
        </is>
      </c>
      <c r="D380" s="1" t="inlineStr">
        <is>
          <t>Стеллаж / шкаф / стенка</t>
        </is>
      </c>
      <c r="E380" s="1" t="inlineStr">
        <is>
          <t>шт</t>
        </is>
      </c>
      <c r="F380" s="1" t="inlineStr">
        <is>
          <t>МИН</t>
        </is>
      </c>
      <c r="G380" s="1" t="inlineStr">
        <is>
          <t>Много Мебели «Стенка Симпл 150» с нишей под ТВ, Сонома/Белый снег</t>
        </is>
      </c>
      <c r="H380" s="43" t="n">
        <v>7999</v>
      </c>
      <c r="I380" s="43" t="n">
        <v>10000</v>
      </c>
      <c r="J380" s="44" t="n">
        <v>-20</v>
      </c>
      <c r="K380" s="1" t="inlineStr">
        <is>
          <t>Много Мебели</t>
        </is>
      </c>
      <c r="L380" s="1" t="inlineStr">
        <is>
          <t>Саратов</t>
        </is>
      </c>
      <c r="M380" s="45" t="inlineStr">
        <is>
          <t>https://mnogomebeli.com/stenki/stenka-simpl-150/stenka-simpl-150/!stenka-stenka-simpl-150-sonoma/</t>
        </is>
      </c>
      <c r="N380" s="1" t="inlineStr">
        <is>
          <t>страница</t>
        </is>
      </c>
      <c r="O380" s="1" t="inlineStr">
        <is>
          <t>2026-09-11</t>
        </is>
      </c>
      <c r="P380" s="46" t="inlineStr">
        <is>
          <t>ок</t>
        </is>
      </c>
      <c r="Q380" s="1" t="inlineStr">
        <is>
          <t>Скидка 50% от 15 999. Альтернатива: Столплит стеллаж «Бруклин» 7 490 ₽ / стенка «Лира» 5 490 ₽ (главная stolplit.ru).</t>
        </is>
      </c>
    </row>
    <row r="381">
      <c r="A381" s="1" t="inlineStr">
        <is>
          <t>2_Заезд</t>
        </is>
      </c>
      <c r="B381" s="1" t="n">
        <v>34</v>
      </c>
      <c r="C381" s="1" t="inlineStr">
        <is>
          <t>Зал</t>
        </is>
      </c>
      <c r="D381" s="1" t="inlineStr">
        <is>
          <t>Стеллаж / шкаф / стенка</t>
        </is>
      </c>
      <c r="E381" s="1" t="inlineStr">
        <is>
          <t>шт</t>
        </is>
      </c>
      <c r="F381" s="1" t="inlineStr">
        <is>
          <t>СРЕД</t>
        </is>
      </c>
      <c r="G381" s="1" t="inlineStr">
        <is>
          <t>Много Мебели «Стенка Монтана» ступенчатая с нишей под ТВ, Крафт/Серый графит</t>
        </is>
      </c>
      <c r="H381" s="43" t="n">
        <v>25999</v>
      </c>
      <c r="I381" s="43" t="n">
        <v>35000</v>
      </c>
      <c r="J381" s="44" t="n">
        <v>-25.7</v>
      </c>
      <c r="K381" s="1" t="inlineStr">
        <is>
          <t>Много Мебели</t>
        </is>
      </c>
      <c r="L381" s="1" t="inlineStr">
        <is>
          <t>Саратов</t>
        </is>
      </c>
      <c r="M381" s="45" t="inlineStr">
        <is>
          <t>https://mnogomebeli.com/stenki/stenki-montana/stenka-montana/!stenka-montana-kraft-seryy/</t>
        </is>
      </c>
      <c r="N381" s="1" t="inlineStr">
        <is>
          <t>страница</t>
        </is>
      </c>
      <c r="O381" s="1" t="inlineStr">
        <is>
          <t>2026-09-11</t>
        </is>
      </c>
      <c r="P381" s="46" t="inlineStr">
        <is>
          <t>ок</t>
        </is>
      </c>
      <c r="Q381" s="1" t="inlineStr">
        <is>
          <t>Скидка 38% от 41 999; 33 отзыва.</t>
        </is>
      </c>
    </row>
    <row r="382">
      <c r="A382" s="1" t="inlineStr">
        <is>
          <t>2_Заезд</t>
        </is>
      </c>
      <c r="B382" s="1" t="n">
        <v>34</v>
      </c>
      <c r="C382" s="1" t="inlineStr">
        <is>
          <t>Зал</t>
        </is>
      </c>
      <c r="D382" s="1" t="inlineStr">
        <is>
          <t>Стеллаж / шкаф / стенка</t>
        </is>
      </c>
      <c r="E382" s="1" t="inlineStr">
        <is>
          <t>шт</t>
        </is>
      </c>
      <c r="F382" s="1" t="inlineStr">
        <is>
          <t>МАКС</t>
        </is>
      </c>
      <c r="G382" s="1" t="inlineStr">
        <is>
          <t>Дизайнерская стенка/стеллаж (Hoff / Лазурит)</t>
        </is>
      </c>
      <c r="H382" s="43" t="n"/>
      <c r="I382" s="43" t="n">
        <v>120000</v>
      </c>
      <c r="J382" s="44" t="n"/>
      <c r="K382" s="1" t="inlineStr">
        <is>
          <t>Hoff</t>
        </is>
      </c>
      <c r="L382" s="1" t="inlineStr">
        <is>
          <t>Саратов</t>
        </is>
      </c>
      <c r="M382" s="45" t="inlineStr">
        <is>
          <t>https://hoff.ru/catalog/gostinaya/mebel_dlya_gostinykh/</t>
        </is>
      </c>
      <c r="N382" s="1" t="inlineStr">
        <is>
          <t>не проверено</t>
        </is>
      </c>
      <c r="O382" s="1" t="inlineStr">
        <is>
          <t>2026-09-11</t>
        </is>
      </c>
      <c r="P382" s="47" t="inlineStr">
        <is>
          <t>уточнить</t>
        </is>
      </c>
      <c r="Q382" s="1" t="inlineStr">
        <is>
          <t>hoff.ru — 401, lazurit.com — пустая страница; в открытых магазинах (Много Мебели, Столплит) максимум 26 000 ₽. Цену 120 000 подтвердить вручную.</t>
        </is>
      </c>
    </row>
    <row r="383">
      <c r="A383" s="1" t="inlineStr">
        <is>
          <t>2_Заезд</t>
        </is>
      </c>
      <c r="B383" s="1" t="n">
        <v>34</v>
      </c>
      <c r="C383" s="1" t="inlineStr">
        <is>
          <t>Зал</t>
        </is>
      </c>
      <c r="D383" s="1" t="inlineStr">
        <is>
          <t>Стеллаж / шкаф / стенка</t>
        </is>
      </c>
      <c r="E383" s="1" t="inlineStr">
        <is>
          <t>шт</t>
        </is>
      </c>
      <c r="F383" s="1" t="inlineStr">
        <is>
          <t>ВСЕ</t>
        </is>
      </c>
      <c r="G383" s="1" t="inlineStr">
        <is>
          <t>Авито Саратов — поиск «Стеллаж / шкаф / стенка» (новые товары магазинов и объявления)</t>
        </is>
      </c>
      <c r="H383" s="43" t="n"/>
      <c r="I383" s="43" t="n"/>
      <c r="J383" s="44" t="n"/>
      <c r="K383" s="1" t="inlineStr">
        <is>
          <t>Авито Саратов</t>
        </is>
      </c>
      <c r="L383" s="1" t="inlineStr">
        <is>
          <t>Саратов</t>
        </is>
      </c>
      <c r="M383" s="45" t="inlineStr">
        <is>
          <t>https://www.avito.ru/saratov?q=%D0%A1%D1%82%D0%B5%D0%BB%D0%BB%D0%B0%D0%B6%20/%20%D1%88%D0%BA%D0%B0%D1%84%20/%20%D1%81%D1%82%D0%B5%D0%BD%D0%BA%D0%B0</t>
        </is>
      </c>
      <c r="N383" s="1" t="inlineStr">
        <is>
          <t>не проверено</t>
        </is>
      </c>
      <c r="O383" s="1" t="inlineStr">
        <is>
          <t>2026-09-11</t>
        </is>
      </c>
      <c r="P383" s="47" t="inlineStr">
        <is>
          <t>уточнить</t>
        </is>
      </c>
      <c r="Q38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84">
      <c r="A384" s="1" t="inlineStr">
        <is>
          <t>2_Заезд</t>
        </is>
      </c>
      <c r="B384" s="1" t="n">
        <v>35</v>
      </c>
      <c r="C384" s="1" t="inlineStr">
        <is>
          <t>Зал</t>
        </is>
      </c>
      <c r="D384" s="1" t="inlineStr">
        <is>
          <t>Кресло</t>
        </is>
      </c>
      <c r="E384" s="1" t="inlineStr">
        <is>
          <t>шт</t>
        </is>
      </c>
      <c r="F384" s="1" t="inlineStr">
        <is>
          <t>МИН</t>
        </is>
      </c>
      <c r="G384" s="1" t="inlineStr">
        <is>
          <t>По смете в МИН не берём</t>
        </is>
      </c>
      <c r="H384" s="43" t="n"/>
      <c r="I384" s="43" t="n">
        <v>0</v>
      </c>
      <c r="J384" s="44" t="n"/>
      <c r="K384" s="1" t="inlineStr">
        <is>
          <t>—</t>
        </is>
      </c>
      <c r="L384" s="1" t="inlineStr">
        <is>
          <t>Саратов</t>
        </is>
      </c>
      <c r="M384" s="45" t="inlineStr">
        <is>
          <t>https://mnogomebeli.com/kresla/</t>
        </is>
      </c>
      <c r="N384" s="1" t="inlineStr">
        <is>
          <t>не проверено</t>
        </is>
      </c>
      <c r="O384" s="1" t="inlineStr">
        <is>
          <t>2026-09-11</t>
        </is>
      </c>
      <c r="P384" s="46" t="inlineStr">
        <is>
          <t>ок</t>
        </is>
      </c>
      <c r="Q384" s="1" t="inlineStr">
        <is>
          <t>Смета: «в МИН не берём». Для справки самое дешёвое виденное: кресло-кровать «Денди» рогожка Мальмо 19 999 ₽ (страница Много Мебели).</t>
        </is>
      </c>
    </row>
    <row r="385">
      <c r="A385" s="1" t="inlineStr">
        <is>
          <t>2_Заезд</t>
        </is>
      </c>
      <c r="B385" s="1" t="n">
        <v>35</v>
      </c>
      <c r="C385" s="1" t="inlineStr">
        <is>
          <t>Зал</t>
        </is>
      </c>
      <c r="D385" s="1" t="inlineStr">
        <is>
          <t>Кресло</t>
        </is>
      </c>
      <c r="E385" s="1" t="inlineStr">
        <is>
          <t>шт</t>
        </is>
      </c>
      <c r="F385" s="1" t="inlineStr">
        <is>
          <t>СРЕД</t>
        </is>
      </c>
      <c r="G385" s="1" t="inlineStr">
        <is>
          <t>Много Мебели кресло-кровать «Денди» рогожка Мальмо</t>
        </is>
      </c>
      <c r="H385" s="43" t="n">
        <v>19999</v>
      </c>
      <c r="I385" s="43" t="n">
        <v>20000</v>
      </c>
      <c r="J385" s="44" t="n">
        <v>0</v>
      </c>
      <c r="K385" s="1" t="inlineStr">
        <is>
          <t>Много Мебели</t>
        </is>
      </c>
      <c r="L385" s="1" t="inlineStr">
        <is>
          <t>Саратов</t>
        </is>
      </c>
      <c r="M385" s="45" t="inlineStr">
        <is>
          <t>https://mnogomebeli.com/kresla/kresla-dandy/kreslo-krovat-dandy-rogozhka-malmo/</t>
        </is>
      </c>
      <c r="N385" s="1" t="inlineStr">
        <is>
          <t>страница</t>
        </is>
      </c>
      <c r="O385" s="1" t="inlineStr">
        <is>
          <t>2026-09-11</t>
        </is>
      </c>
      <c r="P385" s="46" t="inlineStr">
        <is>
          <t>ок</t>
        </is>
      </c>
      <c r="Q385" s="1" t="inlineStr">
        <is>
          <t>В велюре Монолит — 23 999 ₽ (+20%). Кресло-кровать, не декоративное кресло.</t>
        </is>
      </c>
    </row>
    <row r="386">
      <c r="A386" s="1" t="inlineStr">
        <is>
          <t>2_Заезд</t>
        </is>
      </c>
      <c r="B386" s="1" t="n">
        <v>35</v>
      </c>
      <c r="C386" s="1" t="inlineStr">
        <is>
          <t>Зал</t>
        </is>
      </c>
      <c r="D386" s="1" t="inlineStr">
        <is>
          <t>Кресло</t>
        </is>
      </c>
      <c r="E386" s="1" t="inlineStr">
        <is>
          <t>шт</t>
        </is>
      </c>
      <c r="F386" s="1" t="inlineStr">
        <is>
          <t>МАКС</t>
        </is>
      </c>
      <c r="G386" s="1" t="inlineStr">
        <is>
          <t>Много Мебели кресло-кровать «Босс Лофт» Велюр Royal</t>
        </is>
      </c>
      <c r="H386" s="43" t="n">
        <v>32600</v>
      </c>
      <c r="I386" s="43" t="n">
        <v>60000</v>
      </c>
      <c r="J386" s="48" t="n">
        <v>-45.7</v>
      </c>
      <c r="K386" s="1" t="inlineStr">
        <is>
          <t>Много Мебели</t>
        </is>
      </c>
      <c r="L386" s="1" t="inlineStr">
        <is>
          <t>Саратов</t>
        </is>
      </c>
      <c r="M386" s="45" t="inlineStr">
        <is>
          <t>https://mnogomebeli.com/kresla/kreslo-krovat-boss-loft/kreslo-krovat-boss-loft-velyur-royal/</t>
        </is>
      </c>
      <c r="N386" s="1" t="inlineStr">
        <is>
          <t>страница</t>
        </is>
      </c>
      <c r="O386" s="1" t="inlineStr">
        <is>
          <t>2026-09-11</t>
        </is>
      </c>
      <c r="P386" s="46" t="inlineStr">
        <is>
          <t>ок</t>
        </is>
      </c>
      <c r="Q386" s="1" t="inlineStr">
        <is>
          <t>Самое дорогое кресло у Много Мебели. Дизайнерские кресла за 60 000 (Hoff/Лазурит) не проверены.</t>
        </is>
      </c>
    </row>
    <row r="387">
      <c r="A387" s="1" t="inlineStr">
        <is>
          <t>2_Заезд</t>
        </is>
      </c>
      <c r="B387" s="1" t="n">
        <v>35</v>
      </c>
      <c r="C387" s="1" t="inlineStr">
        <is>
          <t>Зал</t>
        </is>
      </c>
      <c r="D387" s="1" t="inlineStr">
        <is>
          <t>Кресло</t>
        </is>
      </c>
      <c r="E387" s="1" t="inlineStr">
        <is>
          <t>шт</t>
        </is>
      </c>
      <c r="F387" s="1" t="inlineStr">
        <is>
          <t>ВСЕ</t>
        </is>
      </c>
      <c r="G387" s="1" t="inlineStr">
        <is>
          <t>Авито Саратов — поиск «Кресло» (новые товары магазинов и объявления)</t>
        </is>
      </c>
      <c r="H387" s="43" t="n"/>
      <c r="I387" s="43" t="n"/>
      <c r="J387" s="44" t="n"/>
      <c r="K387" s="1" t="inlineStr">
        <is>
          <t>Авито Саратов</t>
        </is>
      </c>
      <c r="L387" s="1" t="inlineStr">
        <is>
          <t>Саратов</t>
        </is>
      </c>
      <c r="M387" s="45" t="inlineStr">
        <is>
          <t>https://www.avito.ru/saratov?q=%D0%9A%D1%80%D0%B5%D1%81%D0%BB%D0%BE</t>
        </is>
      </c>
      <c r="N387" s="1" t="inlineStr">
        <is>
          <t>не проверено</t>
        </is>
      </c>
      <c r="O387" s="1" t="inlineStr">
        <is>
          <t>2026-09-11</t>
        </is>
      </c>
      <c r="P387" s="47" t="inlineStr">
        <is>
          <t>уточнить</t>
        </is>
      </c>
      <c r="Q38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88">
      <c r="A388" s="1" t="inlineStr">
        <is>
          <t>2_Заезд</t>
        </is>
      </c>
      <c r="B388" s="1" t="n">
        <v>36</v>
      </c>
      <c r="C388" s="1" t="inlineStr">
        <is>
          <t>Зал</t>
        </is>
      </c>
      <c r="D388" s="1" t="inlineStr">
        <is>
          <t>Ковёр</t>
        </is>
      </c>
      <c r="E388" s="1" t="inlineStr">
        <is>
          <t>шт</t>
        </is>
      </c>
      <c r="F388" s="1" t="inlineStr">
        <is>
          <t>МИН</t>
        </is>
      </c>
      <c r="G388" s="1" t="inlineStr">
        <is>
          <t>Hoff ковёр «Sprinkle» 160×230 (полиэстер)</t>
        </is>
      </c>
      <c r="H388" s="43" t="n"/>
      <c r="I388" s="43" t="n">
        <v>5000</v>
      </c>
      <c r="J388" s="44" t="n"/>
      <c r="K388" s="1" t="inlineStr">
        <is>
          <t>Hoff</t>
        </is>
      </c>
      <c r="L388" s="1" t="inlineStr">
        <is>
          <t>Саратов</t>
        </is>
      </c>
      <c r="M388" s="45" t="inlineStr">
        <is>
          <t>https://hoff.ru/catalog/tovary_dlya_doma/kovry/sovremennye_kovry/kovyer_160x230_sm_sprinkle_id1678242/?articul=80293015</t>
        </is>
      </c>
      <c r="N388" s="1" t="inlineStr">
        <is>
          <t>не проверено</t>
        </is>
      </c>
      <c r="O388" s="1" t="inlineStr">
        <is>
          <t>2026-09-11</t>
        </is>
      </c>
      <c r="P388" s="47" t="inlineStr">
        <is>
          <t>уточнить</t>
        </is>
      </c>
      <c r="Q388" s="1" t="inlineStr">
        <is>
          <t>Страница товара найдена, цена в сниппете не показана; hoff.ru — 401.</t>
        </is>
      </c>
    </row>
    <row r="389">
      <c r="A389" s="1" t="inlineStr">
        <is>
          <t>2_Заезд</t>
        </is>
      </c>
      <c r="B389" s="1" t="n">
        <v>36</v>
      </c>
      <c r="C389" s="1" t="inlineStr">
        <is>
          <t>Зал</t>
        </is>
      </c>
      <c r="D389" s="1" t="inlineStr">
        <is>
          <t>Ковёр</t>
        </is>
      </c>
      <c r="E389" s="1" t="inlineStr">
        <is>
          <t>шт</t>
        </is>
      </c>
      <c r="F389" s="1" t="inlineStr">
        <is>
          <t>СРЕД</t>
        </is>
      </c>
      <c r="G389" s="1" t="inlineStr">
        <is>
          <t>Hoff ковёр «Genius» (BALAT) 160×230</t>
        </is>
      </c>
      <c r="H389" s="43" t="n">
        <v>13999</v>
      </c>
      <c r="I389" s="43" t="n">
        <v>15000</v>
      </c>
      <c r="J389" s="44" t="n">
        <v>-6.7</v>
      </c>
      <c r="K389" s="1" t="inlineStr">
        <is>
          <t>Hoff</t>
        </is>
      </c>
      <c r="L389" s="1" t="inlineStr">
        <is>
          <t>Саратов</t>
        </is>
      </c>
      <c r="M389" s="45" t="inlineStr">
        <is>
          <t>https://hoff.ru/catalog/tovary_dlya_doma/kovry/sovremennye_kovry/kover_balat_genius_id6290525/?articul=80350692</t>
        </is>
      </c>
      <c r="N389" s="1" t="inlineStr">
        <is>
          <t>сниппет</t>
        </is>
      </c>
      <c r="O389" s="1" t="inlineStr">
        <is>
          <t>2026-09-11</t>
        </is>
      </c>
      <c r="P389" s="46" t="inlineStr">
        <is>
          <t>ок</t>
        </is>
      </c>
      <c r="Q389" s="1" t="inlineStr">
        <is>
          <t>Сниппет заголовка страницы Hoff: «купить по цене 13 999 руб».</t>
        </is>
      </c>
    </row>
    <row r="390">
      <c r="A390" s="1" t="inlineStr">
        <is>
          <t>2_Заезд</t>
        </is>
      </c>
      <c r="B390" s="1" t="n">
        <v>36</v>
      </c>
      <c r="C390" s="1" t="inlineStr">
        <is>
          <t>Зал</t>
        </is>
      </c>
      <c r="D390" s="1" t="inlineStr">
        <is>
          <t>Ковёр</t>
        </is>
      </c>
      <c r="E390" s="1" t="inlineStr">
        <is>
          <t>шт</t>
        </is>
      </c>
      <c r="F390" s="1" t="inlineStr">
        <is>
          <t>МАКС</t>
        </is>
      </c>
      <c r="G390" s="1" t="inlineStr">
        <is>
          <t>Hoff натуральный (шерсть) ковёр 160×230</t>
        </is>
      </c>
      <c r="H390" s="43" t="n"/>
      <c r="I390" s="43" t="n">
        <v>50000</v>
      </c>
      <c r="J390" s="44" t="n"/>
      <c r="K390" s="1" t="inlineStr">
        <is>
          <t>Hoff</t>
        </is>
      </c>
      <c r="L390" s="1" t="inlineStr">
        <is>
          <t>Саратов</t>
        </is>
      </c>
      <c r="M390" s="45" t="inlineStr">
        <is>
          <t>https://hoff.ru/catalog/promo/kovry-naturalnye/?razmer_kovra=160h230_sm</t>
        </is>
      </c>
      <c r="N390" s="1" t="inlineStr">
        <is>
          <t>не проверено</t>
        </is>
      </c>
      <c r="O390" s="1" t="inlineStr">
        <is>
          <t>2026-09-11</t>
        </is>
      </c>
      <c r="P390" s="47" t="inlineStr">
        <is>
          <t>уточнить</t>
        </is>
      </c>
      <c r="Q390" s="1" t="inlineStr">
        <is>
          <t>Подборка натуральных ковров 160×230 на Hoff есть, цены не видны (401).</t>
        </is>
      </c>
    </row>
    <row r="391">
      <c r="A391" s="1" t="inlineStr">
        <is>
          <t>2_Заезд</t>
        </is>
      </c>
      <c r="B391" s="1" t="n">
        <v>36</v>
      </c>
      <c r="C391" s="1" t="inlineStr">
        <is>
          <t>Зал</t>
        </is>
      </c>
      <c r="D391" s="1" t="inlineStr">
        <is>
          <t>Ковёр</t>
        </is>
      </c>
      <c r="E391" s="1" t="inlineStr">
        <is>
          <t>шт</t>
        </is>
      </c>
      <c r="F391" s="1" t="inlineStr">
        <is>
          <t>ВСЕ</t>
        </is>
      </c>
      <c r="G391" s="1" t="inlineStr">
        <is>
          <t>Авито Саратов — поиск «Ковёр» (новые товары магазинов и объявления)</t>
        </is>
      </c>
      <c r="H391" s="43" t="n"/>
      <c r="I391" s="43" t="n"/>
      <c r="J391" s="44" t="n"/>
      <c r="K391" s="1" t="inlineStr">
        <is>
          <t>Авито Саратов</t>
        </is>
      </c>
      <c r="L391" s="1" t="inlineStr">
        <is>
          <t>Саратов</t>
        </is>
      </c>
      <c r="M391" s="45" t="inlineStr">
        <is>
          <t>https://www.avito.ru/saratov?q=%D0%9A%D0%BE%D0%B2%D1%91%D1%80</t>
        </is>
      </c>
      <c r="N391" s="1" t="inlineStr">
        <is>
          <t>не проверено</t>
        </is>
      </c>
      <c r="O391" s="1" t="inlineStr">
        <is>
          <t>2026-09-11</t>
        </is>
      </c>
      <c r="P391" s="47" t="inlineStr">
        <is>
          <t>уточнить</t>
        </is>
      </c>
      <c r="Q39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92">
      <c r="A392" s="1" t="inlineStr">
        <is>
          <t>2_Заезд</t>
        </is>
      </c>
      <c r="B392" s="1" t="n">
        <v>37</v>
      </c>
      <c r="C392" s="1" t="inlineStr">
        <is>
          <t>Зал</t>
        </is>
      </c>
      <c r="D392" s="1" t="inlineStr">
        <is>
          <t>Шторы + карниз</t>
        </is>
      </c>
      <c r="E392" s="1" t="inlineStr">
        <is>
          <t>компл</t>
        </is>
      </c>
      <c r="F392" s="1" t="inlineStr">
        <is>
          <t>МИН</t>
        </is>
      </c>
      <c r="G392" s="1" t="inlineStr">
        <is>
          <t>Hoff готовые шторы (комплект) + карниз</t>
        </is>
      </c>
      <c r="H392" s="43" t="n"/>
      <c r="I392" s="43" t="n">
        <v>6000</v>
      </c>
      <c r="J392" s="44" t="n"/>
      <c r="K392" s="1" t="inlineStr">
        <is>
          <t>Hoff</t>
        </is>
      </c>
      <c r="L392" s="1" t="inlineStr">
        <is>
          <t>Саратов</t>
        </is>
      </c>
      <c r="M392" s="45" t="inlineStr">
        <is>
          <t>https://hoff.ru/catalog/tovary_dlya_doma/shtory/gotovye_shtory/komplekty_shtor/</t>
        </is>
      </c>
      <c r="N392" s="1" t="inlineStr">
        <is>
          <t>не проверено</t>
        </is>
      </c>
      <c r="O392" s="1" t="inlineStr">
        <is>
          <t>2026-09-11</t>
        </is>
      </c>
      <c r="P392" s="47" t="inlineStr">
        <is>
          <t>уточнить</t>
        </is>
      </c>
      <c r="Q392" s="1" t="inlineStr">
        <is>
          <t>Сниппеты: готовые шторы Hoff «от 399 ₽», рулонные блэкаут «от 799 ₽» — без привязки к модели; карниз не найден. hoff.ru и lemanapro.ru — 401.</t>
        </is>
      </c>
    </row>
    <row r="393">
      <c r="A393" s="1" t="inlineStr">
        <is>
          <t>2_Заезд</t>
        </is>
      </c>
      <c r="B393" s="1" t="n">
        <v>37</v>
      </c>
      <c r="C393" s="1" t="inlineStr">
        <is>
          <t>Зал</t>
        </is>
      </c>
      <c r="D393" s="1" t="inlineStr">
        <is>
          <t>Шторы + карниз</t>
        </is>
      </c>
      <c r="E393" s="1" t="inlineStr">
        <is>
          <t>компл</t>
        </is>
      </c>
      <c r="F393" s="1" t="inlineStr">
        <is>
          <t>СРЕД</t>
        </is>
      </c>
      <c r="G393" s="1" t="inlineStr">
        <is>
          <t>Лемана ПРО комплект штор Shtorkki бархат Burgundy 150×260, 2 шт (без карниза)</t>
        </is>
      </c>
      <c r="H393" s="43" t="n">
        <v>10983</v>
      </c>
      <c r="I393" s="43" t="n">
        <v>18000</v>
      </c>
      <c r="J393" s="48" t="n">
        <v>-39</v>
      </c>
      <c r="K393" s="1" t="inlineStr">
        <is>
          <t>Лемана ПРО</t>
        </is>
      </c>
      <c r="L393" s="1" t="inlineStr">
        <is>
          <t>доставка в Саратов</t>
        </is>
      </c>
      <c r="M393" s="45" t="inlineStr">
        <is>
          <t>https://saratov.lemanapro.ru/product/komplekt-shtor-shtorkki-barhat-burgundy-150x260-sm-2-sht-91624436/</t>
        </is>
      </c>
      <c r="N393" s="1" t="inlineStr">
        <is>
          <t>сниппет</t>
        </is>
      </c>
      <c r="O393" s="1" t="inlineStr">
        <is>
          <t>2026-09-11</t>
        </is>
      </c>
      <c r="P393" s="47" t="inlineStr">
        <is>
          <t>уточнить</t>
        </is>
      </c>
      <c r="Q393" s="1" t="inlineStr">
        <is>
          <t>Цена из сниппета для Барнаула (barnaul.lemanapro.ru), саратовская цена и карниз не подтверждены — отклонение не считаю.</t>
        </is>
      </c>
    </row>
    <row r="394">
      <c r="A394" s="1" t="inlineStr">
        <is>
          <t>2_Заезд</t>
        </is>
      </c>
      <c r="B394" s="1" t="n">
        <v>37</v>
      </c>
      <c r="C394" s="1" t="inlineStr">
        <is>
          <t>Зал</t>
        </is>
      </c>
      <c r="D394" s="1" t="inlineStr">
        <is>
          <t>Шторы + карниз</t>
        </is>
      </c>
      <c r="E394" s="1" t="inlineStr">
        <is>
          <t>компл</t>
        </is>
      </c>
      <c r="F394" s="1" t="inlineStr">
        <is>
          <t>МАКС</t>
        </is>
      </c>
      <c r="G394" s="1" t="inlineStr">
        <is>
          <t>Шторы блэкаут на заказ + карниз</t>
        </is>
      </c>
      <c r="H394" s="43" t="n"/>
      <c r="I394" s="43" t="n">
        <v>50000</v>
      </c>
      <c r="J394" s="44" t="n"/>
      <c r="K394" s="1" t="inlineStr">
        <is>
          <t>Hoff</t>
        </is>
      </c>
      <c r="L394" s="1" t="inlineStr">
        <is>
          <t>Саратов</t>
        </is>
      </c>
      <c r="M394" s="45" t="inlineStr">
        <is>
          <t>https://hoff.ru/promo/blackout/</t>
        </is>
      </c>
      <c r="N394" s="1" t="inlineStr">
        <is>
          <t>не проверено</t>
        </is>
      </c>
      <c r="O394" s="1" t="inlineStr">
        <is>
          <t>2026-09-11</t>
        </is>
      </c>
      <c r="P394" s="47" t="inlineStr">
        <is>
          <t>уточнить</t>
        </is>
      </c>
      <c r="Q394" s="1" t="inlineStr">
        <is>
          <t>Пошив на заказ онлайн не бенчмаркуется; готовых комплектов за 50 000 в сниппетах нет.</t>
        </is>
      </c>
    </row>
    <row r="395">
      <c r="A395" s="1" t="inlineStr">
        <is>
          <t>2_Заезд</t>
        </is>
      </c>
      <c r="B395" s="1" t="n">
        <v>37</v>
      </c>
      <c r="C395" s="1" t="inlineStr">
        <is>
          <t>Зал</t>
        </is>
      </c>
      <c r="D395" s="1" t="inlineStr">
        <is>
          <t>Шторы + карниз</t>
        </is>
      </c>
      <c r="E395" s="1" t="inlineStr">
        <is>
          <t>компл</t>
        </is>
      </c>
      <c r="F395" s="1" t="inlineStr">
        <is>
          <t>ВСЕ</t>
        </is>
      </c>
      <c r="G395" s="1" t="inlineStr">
        <is>
          <t>Авито Саратов — поиск «Шторы + карниз» (новые товары магазинов и объявления)</t>
        </is>
      </c>
      <c r="H395" s="43" t="n"/>
      <c r="I395" s="43" t="n"/>
      <c r="J395" s="44" t="n"/>
      <c r="K395" s="1" t="inlineStr">
        <is>
          <t>Авито Саратов</t>
        </is>
      </c>
      <c r="L395" s="1" t="inlineStr">
        <is>
          <t>Саратов</t>
        </is>
      </c>
      <c r="M395" s="45" t="inlineStr">
        <is>
          <t>https://www.avito.ru/saratov?q=%D0%A8%D1%82%D0%BE%D1%80%D1%8B%20%2B%20%D0%BA%D0%B0%D1%80%D0%BD%D0%B8%D0%B7</t>
        </is>
      </c>
      <c r="N395" s="1" t="inlineStr">
        <is>
          <t>не проверено</t>
        </is>
      </c>
      <c r="O395" s="1" t="inlineStr">
        <is>
          <t>2026-09-11</t>
        </is>
      </c>
      <c r="P395" s="47" t="inlineStr">
        <is>
          <t>уточнить</t>
        </is>
      </c>
      <c r="Q39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396">
      <c r="A396" s="1" t="inlineStr">
        <is>
          <t>2_Заезд</t>
        </is>
      </c>
      <c r="B396" s="1" t="n">
        <v>38</v>
      </c>
      <c r="C396" s="1" t="inlineStr">
        <is>
          <t>Зал</t>
        </is>
      </c>
      <c r="D396" s="1" t="inlineStr">
        <is>
          <t>Торшер / бра</t>
        </is>
      </c>
      <c r="E396" s="1" t="inlineStr">
        <is>
          <t>компл</t>
        </is>
      </c>
      <c r="F396" s="1" t="inlineStr">
        <is>
          <t>МИН</t>
        </is>
      </c>
      <c r="G396" s="1" t="inlineStr">
        <is>
          <t>Hoff торшер «Marika»</t>
        </is>
      </c>
      <c r="H396" s="43" t="n">
        <v>3599</v>
      </c>
      <c r="I396" s="43" t="n">
        <v>2000</v>
      </c>
      <c r="J396" s="48" t="n">
        <v>80</v>
      </c>
      <c r="K396" s="1" t="inlineStr">
        <is>
          <t>Hoff</t>
        </is>
      </c>
      <c r="L396" s="1" t="inlineStr">
        <is>
          <t>Саратов</t>
        </is>
      </c>
      <c r="M396" s="45" t="inlineStr">
        <is>
          <t>https://hoff.ru/catalog/promo/torshery-napolnye-dlja-kuhni/?svetodiody=net</t>
        </is>
      </c>
      <c r="N396" s="1" t="inlineStr">
        <is>
          <t>сниппет</t>
        </is>
      </c>
      <c r="O396" s="1" t="inlineStr">
        <is>
          <t>2026-09-11</t>
        </is>
      </c>
      <c r="P396" s="46" t="inlineStr">
        <is>
          <t>ок</t>
        </is>
      </c>
      <c r="Q396" s="1" t="inlineStr">
        <is>
          <t>В сниппете также торшеры Hoff 3 299 ₽ без названия модели. Лемана ПРО Саратов (ссылка сметы) — 401.</t>
        </is>
      </c>
    </row>
    <row r="397">
      <c r="A397" s="1" t="inlineStr">
        <is>
          <t>2_Заезд</t>
        </is>
      </c>
      <c r="B397" s="1" t="n">
        <v>38</v>
      </c>
      <c r="C397" s="1" t="inlineStr">
        <is>
          <t>Зал</t>
        </is>
      </c>
      <c r="D397" s="1" t="inlineStr">
        <is>
          <t>Торшер / бра</t>
        </is>
      </c>
      <c r="E397" s="1" t="inlineStr">
        <is>
          <t>компл</t>
        </is>
      </c>
      <c r="F397" s="1" t="inlineStr">
        <is>
          <t>СРЕД</t>
        </is>
      </c>
      <c r="G397" s="1" t="inlineStr">
        <is>
          <t>Hoff торшер «Lissea»</t>
        </is>
      </c>
      <c r="H397" s="43" t="n">
        <v>11999</v>
      </c>
      <c r="I397" s="43" t="n">
        <v>8000</v>
      </c>
      <c r="J397" s="48" t="n">
        <v>50</v>
      </c>
      <c r="K397" s="1" t="inlineStr">
        <is>
          <t>Hoff</t>
        </is>
      </c>
      <c r="L397" s="1" t="inlineStr">
        <is>
          <t>Саратов</t>
        </is>
      </c>
      <c r="M397" s="45" t="inlineStr">
        <is>
          <t>https://hoff.ru/catalog/promo/torshery-napolnye-dlja-kuhni/?svetodiody=net</t>
        </is>
      </c>
      <c r="N397" s="1" t="inlineStr">
        <is>
          <t>сниппет</t>
        </is>
      </c>
      <c r="O397" s="1" t="inlineStr">
        <is>
          <t>2026-09-11</t>
        </is>
      </c>
      <c r="P397" s="46" t="inlineStr">
        <is>
          <t>ок</t>
        </is>
      </c>
      <c r="Q397" s="1" t="inlineStr">
        <is>
          <t>В сниппете есть торшеры Hoff 5 199 / 5 999 ₽ без названий — за 8 000 уложиться можно.</t>
        </is>
      </c>
    </row>
    <row r="398">
      <c r="A398" s="1" t="inlineStr">
        <is>
          <t>2_Заезд</t>
        </is>
      </c>
      <c r="B398" s="1" t="n">
        <v>38</v>
      </c>
      <c r="C398" s="1" t="inlineStr">
        <is>
          <t>Зал</t>
        </is>
      </c>
      <c r="D398" s="1" t="inlineStr">
        <is>
          <t>Торшер / бра</t>
        </is>
      </c>
      <c r="E398" s="1" t="inlineStr">
        <is>
          <t>компл</t>
        </is>
      </c>
      <c r="F398" s="1" t="inlineStr">
        <is>
          <t>МАКС</t>
        </is>
      </c>
      <c r="G398" s="1" t="inlineStr">
        <is>
          <t>Дизайнерский торшер (Hoff 24 885–29 599 ₽, модели не названы)</t>
        </is>
      </c>
      <c r="H398" s="43" t="n"/>
      <c r="I398" s="43" t="n">
        <v>25000</v>
      </c>
      <c r="J398" s="44" t="n"/>
      <c r="K398" s="1" t="inlineStr">
        <is>
          <t>Лемана ПРО Саратов</t>
        </is>
      </c>
      <c r="L398" s="1" t="inlineStr">
        <is>
          <t>Саратов</t>
        </is>
      </c>
      <c r="M398" s="45" t="inlineStr">
        <is>
          <t>https://saratov.lemanapro.ru/catalogue/torshery/</t>
        </is>
      </c>
      <c r="N398" s="1" t="inlineStr">
        <is>
          <t>не проверено</t>
        </is>
      </c>
      <c r="O398" s="1" t="inlineStr">
        <is>
          <t>2026-09-11</t>
        </is>
      </c>
      <c r="P398" s="47" t="inlineStr">
        <is>
          <t>уточнить</t>
        </is>
      </c>
      <c r="Q398" s="1" t="inlineStr">
        <is>
          <t>Диапазон 24 885–29 599 ₽ виден в сниппете-агрегаторе, но без модели — не фиксирую.</t>
        </is>
      </c>
    </row>
    <row r="399">
      <c r="A399" s="1" t="inlineStr">
        <is>
          <t>2_Заезд</t>
        </is>
      </c>
      <c r="B399" s="1" t="n">
        <v>38</v>
      </c>
      <c r="C399" s="1" t="inlineStr">
        <is>
          <t>Зал</t>
        </is>
      </c>
      <c r="D399" s="1" t="inlineStr">
        <is>
          <t>Торшер / бра</t>
        </is>
      </c>
      <c r="E399" s="1" t="inlineStr">
        <is>
          <t>компл</t>
        </is>
      </c>
      <c r="F399" s="1" t="inlineStr">
        <is>
          <t>ВСЕ</t>
        </is>
      </c>
      <c r="G399" s="1" t="inlineStr">
        <is>
          <t>Авито Саратов — поиск «Торшер / бра» (новые товары магазинов и объявления)</t>
        </is>
      </c>
      <c r="H399" s="43" t="n"/>
      <c r="I399" s="43" t="n"/>
      <c r="J399" s="44" t="n"/>
      <c r="K399" s="1" t="inlineStr">
        <is>
          <t>Авито Саратов</t>
        </is>
      </c>
      <c r="L399" s="1" t="inlineStr">
        <is>
          <t>Саратов</t>
        </is>
      </c>
      <c r="M399" s="45" t="inlineStr">
        <is>
          <t>https://www.avito.ru/saratov?q=%D0%A2%D0%BE%D1%80%D1%88%D0%B5%D1%80%20/%20%D0%B1%D1%80%D0%B0</t>
        </is>
      </c>
      <c r="N399" s="1" t="inlineStr">
        <is>
          <t>не проверено</t>
        </is>
      </c>
      <c r="O399" s="1" t="inlineStr">
        <is>
          <t>2026-09-11</t>
        </is>
      </c>
      <c r="P399" s="47" t="inlineStr">
        <is>
          <t>уточнить</t>
        </is>
      </c>
      <c r="Q39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00">
      <c r="A400" s="1" t="inlineStr">
        <is>
          <t>2_Заезд</t>
        </is>
      </c>
      <c r="B400" s="1" t="n">
        <v>39</v>
      </c>
      <c r="C400" s="1" t="inlineStr">
        <is>
          <t>Прихожая</t>
        </is>
      </c>
      <c r="D400" s="1" t="inlineStr">
        <is>
          <t>Шкаф / вешалка + обувница</t>
        </is>
      </c>
      <c r="E400" s="1" t="inlineStr">
        <is>
          <t>компл</t>
        </is>
      </c>
      <c r="F400" s="1" t="inlineStr">
        <is>
          <t>МИН</t>
        </is>
      </c>
      <c r="G400" s="1" t="inlineStr">
        <is>
          <t>Много Мебели шкаф «Рим 80» распашной 2Д (без обувницы)</t>
        </is>
      </c>
      <c r="H400" s="43" t="n">
        <v>11999</v>
      </c>
      <c r="I400" s="43" t="n">
        <v>8000</v>
      </c>
      <c r="J400" s="48" t="n">
        <v>50</v>
      </c>
      <c r="K400" s="1" t="inlineStr">
        <is>
          <t>Много Мебели</t>
        </is>
      </c>
      <c r="L400" s="1" t="inlineStr">
        <is>
          <t>Саратов</t>
        </is>
      </c>
      <c r="M400" s="45" t="inlineStr">
        <is>
          <t>https://mnogomebeli.com/shkafy/raspashnye/rim-80-shkaf-raspashnoy-2d/</t>
        </is>
      </c>
      <c r="N400" s="1" t="inlineStr">
        <is>
          <t>страница</t>
        </is>
      </c>
      <c r="O400" s="1" t="inlineStr">
        <is>
          <t>2026-09-11</t>
        </is>
      </c>
      <c r="P400" s="47" t="inlineStr">
        <is>
          <t>уточнить</t>
        </is>
      </c>
      <c r="Q400" s="1" t="inlineStr">
        <is>
          <t>Уже без обувницы +50% к смете МИН. Дешевле: Столплит шкаф «София» 9 900 ₽ (главная, размер не виден). Обувница 90×35 в открытых магазинах не найдена.</t>
        </is>
      </c>
    </row>
    <row r="401">
      <c r="A401" s="1" t="inlineStr">
        <is>
          <t>2_Заезд</t>
        </is>
      </c>
      <c r="B401" s="1" t="n">
        <v>39</v>
      </c>
      <c r="C401" s="1" t="inlineStr">
        <is>
          <t>Прихожая</t>
        </is>
      </c>
      <c r="D401" s="1" t="inlineStr">
        <is>
          <t>Шкаф / вешалка + обувница</t>
        </is>
      </c>
      <c r="E401" s="1" t="inlineStr">
        <is>
          <t>компл</t>
        </is>
      </c>
      <c r="F401" s="1" t="inlineStr">
        <is>
          <t>СРЕД</t>
        </is>
      </c>
      <c r="G401" s="1" t="inlineStr">
        <is>
          <t>Много Мебели шкаф «Босс Стандарт 120» 236 см, 3Д + ящики (без обувницы)</t>
        </is>
      </c>
      <c r="H401" s="43" t="n">
        <v>21999</v>
      </c>
      <c r="I401" s="43" t="n">
        <v>30000</v>
      </c>
      <c r="J401" s="44" t="n">
        <v>-26.7</v>
      </c>
      <c r="K401" s="1" t="inlineStr">
        <is>
          <t>Много Мебели</t>
        </is>
      </c>
      <c r="L401" s="1" t="inlineStr">
        <is>
          <t>Саратов</t>
        </is>
      </c>
      <c r="M401" s="45" t="inlineStr">
        <is>
          <t>https://mnogomebeli.com/shkafy/boss-standart-236/boss-standart-120-236-shkaf-raspashnoy-3d-yashchiki/</t>
        </is>
      </c>
      <c r="N401" s="1" t="inlineStr">
        <is>
          <t>страница</t>
        </is>
      </c>
      <c r="O401" s="1" t="inlineStr">
        <is>
          <t>2026-09-11</t>
        </is>
      </c>
      <c r="P401" s="47" t="inlineStr">
        <is>
          <t>уточнить</t>
        </is>
      </c>
      <c r="Q401" s="1" t="inlineStr">
        <is>
          <t>Шкаф без обувницы; запас до сметы 8 000 ₽ на обувницу. Столплит комплект «Трувор» (обувницы+зеркало с вешалкой) — цена в сниппете не видна.</t>
        </is>
      </c>
    </row>
    <row r="402">
      <c r="A402" s="1" t="inlineStr">
        <is>
          <t>2_Заезд</t>
        </is>
      </c>
      <c r="B402" s="1" t="n">
        <v>39</v>
      </c>
      <c r="C402" s="1" t="inlineStr">
        <is>
          <t>Прихожая</t>
        </is>
      </c>
      <c r="D402" s="1" t="inlineStr">
        <is>
          <t>Шкаф / вешалка + обувница</t>
        </is>
      </c>
      <c r="E402" s="1" t="inlineStr">
        <is>
          <t>компл</t>
        </is>
      </c>
      <c r="F402" s="1" t="inlineStr">
        <is>
          <t>МАКС</t>
        </is>
      </c>
      <c r="G402" s="1" t="inlineStr">
        <is>
          <t>Встроенный шкаф на заказ (по смете)</t>
        </is>
      </c>
      <c r="H402" s="43" t="n"/>
      <c r="I402" s="43" t="n">
        <v>90000</v>
      </c>
      <c r="J402" s="44" t="n"/>
      <c r="K402" s="1" t="inlineStr">
        <is>
          <t>Столплит</t>
        </is>
      </c>
      <c r="L402" s="1" t="inlineStr">
        <is>
          <t>Саратов</t>
        </is>
      </c>
      <c r="M402" s="45" t="inlineStr">
        <is>
          <t>https://www.stolplit.ru/internet-magazin/katalog-mebeli/26-prikhozhaya/</t>
        </is>
      </c>
      <c r="N402" s="1" t="inlineStr">
        <is>
          <t>не проверено</t>
        </is>
      </c>
      <c r="O402" s="1" t="inlineStr">
        <is>
          <t>2026-09-11</t>
        </is>
      </c>
      <c r="P402" s="47" t="inlineStr">
        <is>
          <t>уточнить</t>
        </is>
      </c>
      <c r="Q402" s="1" t="inlineStr">
        <is>
          <t>Заказная мебель онлайн не бенчмаркуется; нужен замер и КП.</t>
        </is>
      </c>
    </row>
    <row r="403">
      <c r="A403" s="1" t="inlineStr">
        <is>
          <t>2_Заезд</t>
        </is>
      </c>
      <c r="B403" s="1" t="n">
        <v>39</v>
      </c>
      <c r="C403" s="1" t="inlineStr">
        <is>
          <t>Прихожая</t>
        </is>
      </c>
      <c r="D403" s="1" t="inlineStr">
        <is>
          <t>Шкаф / вешалка + обувница</t>
        </is>
      </c>
      <c r="E403" s="1" t="inlineStr">
        <is>
          <t>компл</t>
        </is>
      </c>
      <c r="F403" s="1" t="inlineStr">
        <is>
          <t>ВСЕ</t>
        </is>
      </c>
      <c r="G403" s="1" t="inlineStr">
        <is>
          <t>Авито Саратов — поиск «Шкаф / вешалка + обувница» (новые товары магазинов и объявления)</t>
        </is>
      </c>
      <c r="H403" s="43" t="n"/>
      <c r="I403" s="43" t="n"/>
      <c r="J403" s="44" t="n"/>
      <c r="K403" s="1" t="inlineStr">
        <is>
          <t>Авито Саратов</t>
        </is>
      </c>
      <c r="L403" s="1" t="inlineStr">
        <is>
          <t>Саратов</t>
        </is>
      </c>
      <c r="M403" s="45" t="inlineStr">
        <is>
          <t>https://www.avito.ru/saratov?q=%D0%A8%D0%BA%D0%B0%D1%84%20/%20%D0%B2%D0%B5%D1%88%D0%B0%D0%BB%D0%BA%D0%B0%20%2B%20%D0%BE%D0%B1%D1%83%D0%B2%D0%BD%D0%B8%D1%86%D0%B0</t>
        </is>
      </c>
      <c r="N403" s="1" t="inlineStr">
        <is>
          <t>не проверено</t>
        </is>
      </c>
      <c r="O403" s="1" t="inlineStr">
        <is>
          <t>2026-09-11</t>
        </is>
      </c>
      <c r="P403" s="47" t="inlineStr">
        <is>
          <t>уточнить</t>
        </is>
      </c>
      <c r="Q40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04">
      <c r="A404" s="1" t="inlineStr">
        <is>
          <t>2_Заезд</t>
        </is>
      </c>
      <c r="B404" s="1" t="n">
        <v>40</v>
      </c>
      <c r="C404" s="1" t="inlineStr">
        <is>
          <t>Прихожая</t>
        </is>
      </c>
      <c r="D404" s="1" t="inlineStr">
        <is>
          <t>Зеркало</t>
        </is>
      </c>
      <c r="E404" s="1" t="inlineStr">
        <is>
          <t>шт</t>
        </is>
      </c>
      <c r="F404" s="1" t="inlineStr">
        <is>
          <t>МИН</t>
        </is>
      </c>
      <c r="G404" s="1" t="inlineStr">
        <is>
          <t>Столплит зеркало «Ameli» СБ-2723, 88×79</t>
        </is>
      </c>
      <c r="H404" s="43" t="n">
        <v>1897</v>
      </c>
      <c r="I404" s="43" t="n">
        <v>1500</v>
      </c>
      <c r="J404" s="44" t="n">
        <v>26.5</v>
      </c>
      <c r="K404" s="1" t="inlineStr">
        <is>
          <t>Столплит</t>
        </is>
      </c>
      <c r="L404" s="1" t="inlineStr">
        <is>
          <t>Саратов</t>
        </is>
      </c>
      <c r="M404" s="45" t="inlineStr">
        <is>
          <t>https://www.stolplit.ru/internet-magazin/katalog-mebeli/103-zerkala/</t>
        </is>
      </c>
      <c r="N404" s="1" t="inlineStr">
        <is>
          <t>страница</t>
        </is>
      </c>
      <c r="O404" s="1" t="inlineStr">
        <is>
          <t>2026-09-11</t>
        </is>
      </c>
      <c r="P404" s="46" t="inlineStr">
        <is>
          <t>ок</t>
        </is>
      </c>
      <c r="Q404" s="1" t="inlineStr">
        <is>
          <t>Настенное, не в рост.</t>
        </is>
      </c>
    </row>
    <row r="405">
      <c r="A405" s="1" t="inlineStr">
        <is>
          <t>2_Заезд</t>
        </is>
      </c>
      <c r="B405" s="1" t="n">
        <v>40</v>
      </c>
      <c r="C405" s="1" t="inlineStr">
        <is>
          <t>Прихожая</t>
        </is>
      </c>
      <c r="D405" s="1" t="inlineStr">
        <is>
          <t>Зеркало</t>
        </is>
      </c>
      <c r="E405" s="1" t="inlineStr">
        <is>
          <t>шт</t>
        </is>
      </c>
      <c r="F405" s="1" t="inlineStr">
        <is>
          <t>СРЕД</t>
        </is>
      </c>
      <c r="G405" s="1" t="inlineStr">
        <is>
          <t>Столплит зеркало «Trend» СБ-3462 Diamond Grey, 60×128</t>
        </is>
      </c>
      <c r="H405" s="43" t="n">
        <v>4570</v>
      </c>
      <c r="I405" s="43" t="n">
        <v>5000</v>
      </c>
      <c r="J405" s="44" t="n">
        <v>-8.6</v>
      </c>
      <c r="K405" s="1" t="inlineStr">
        <is>
          <t>Столплит</t>
        </is>
      </c>
      <c r="L405" s="1" t="inlineStr">
        <is>
          <t>Саратов</t>
        </is>
      </c>
      <c r="M405" s="45" t="inlineStr">
        <is>
          <t>https://www.stolplit.ru/internet-magazin/katalog-mebeli/103-zerkala/</t>
        </is>
      </c>
      <c r="N405" s="1" t="inlineStr">
        <is>
          <t>страница</t>
        </is>
      </c>
      <c r="O405" s="1" t="inlineStr">
        <is>
          <t>2026-09-11</t>
        </is>
      </c>
      <c r="P405" s="46" t="inlineStr">
        <is>
          <t>ок</t>
        </is>
      </c>
      <c r="Q405" s="1" t="inlineStr">
        <is>
          <t>128 см — почти в рост, настенное.</t>
        </is>
      </c>
    </row>
    <row r="406">
      <c r="A406" s="1" t="inlineStr">
        <is>
          <t>2_Заезд</t>
        </is>
      </c>
      <c r="B406" s="1" t="n">
        <v>40</v>
      </c>
      <c r="C406" s="1" t="inlineStr">
        <is>
          <t>Прихожая</t>
        </is>
      </c>
      <c r="D406" s="1" t="inlineStr">
        <is>
          <t>Зеркало</t>
        </is>
      </c>
      <c r="E406" s="1" t="inlineStr">
        <is>
          <t>шт</t>
        </is>
      </c>
      <c r="F406" s="1" t="inlineStr">
        <is>
          <t>МАКС</t>
        </is>
      </c>
      <c r="G406" s="1" t="inlineStr">
        <is>
          <t>Hoff зеркало напольное в раме 35×151,5</t>
        </is>
      </c>
      <c r="H406" s="43" t="n"/>
      <c r="I406" s="43" t="n">
        <v>15000</v>
      </c>
      <c r="J406" s="44" t="n"/>
      <c r="K406" s="1" t="inlineStr">
        <is>
          <t>Hoff</t>
        </is>
      </c>
      <c r="L406" s="1" t="inlineStr">
        <is>
          <t>Саратов</t>
        </is>
      </c>
      <c r="M406" s="45" t="inlineStr">
        <is>
          <t>https://hoff.ru/catalog/tovary_dlya_doma/dekor/zerkala/zerkala_napolnyie/zerkalo_napolnoe_v_rame_id7464795/?articul=80366932</t>
        </is>
      </c>
      <c r="N406" s="1" t="inlineStr">
        <is>
          <t>не проверено</t>
        </is>
      </c>
      <c r="O406" s="1" t="inlineStr">
        <is>
          <t>2026-09-11</t>
        </is>
      </c>
      <c r="P406" s="47" t="inlineStr">
        <is>
          <t>уточнить</t>
        </is>
      </c>
      <c r="Q406" s="1" t="inlineStr">
        <is>
          <t>Страница товара найдена, цена не видна (401).</t>
        </is>
      </c>
    </row>
    <row r="407">
      <c r="A407" s="1" t="inlineStr">
        <is>
          <t>2_Заезд</t>
        </is>
      </c>
      <c r="B407" s="1" t="n">
        <v>40</v>
      </c>
      <c r="C407" s="1" t="inlineStr">
        <is>
          <t>Прихожая</t>
        </is>
      </c>
      <c r="D407" s="1" t="inlineStr">
        <is>
          <t>Зеркало</t>
        </is>
      </c>
      <c r="E407" s="1" t="inlineStr">
        <is>
          <t>шт</t>
        </is>
      </c>
      <c r="F407" s="1" t="inlineStr">
        <is>
          <t>ВСЕ</t>
        </is>
      </c>
      <c r="G407" s="1" t="inlineStr">
        <is>
          <t>Авито Саратов — поиск «Зеркало» (новые товары магазинов и объявления)</t>
        </is>
      </c>
      <c r="H407" s="43" t="n"/>
      <c r="I407" s="43" t="n"/>
      <c r="J407" s="44" t="n"/>
      <c r="K407" s="1" t="inlineStr">
        <is>
          <t>Авито Саратов</t>
        </is>
      </c>
      <c r="L407" s="1" t="inlineStr">
        <is>
          <t>Саратов</t>
        </is>
      </c>
      <c r="M407" s="45" t="inlineStr">
        <is>
          <t>https://www.avito.ru/saratov?q=%D0%97%D0%B5%D1%80%D0%BA%D0%B0%D0%BB%D0%BE</t>
        </is>
      </c>
      <c r="N407" s="1" t="inlineStr">
        <is>
          <t>не проверено</t>
        </is>
      </c>
      <c r="O407" s="1" t="inlineStr">
        <is>
          <t>2026-09-11</t>
        </is>
      </c>
      <c r="P407" s="47" t="inlineStr">
        <is>
          <t>уточнить</t>
        </is>
      </c>
      <c r="Q40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08">
      <c r="A408" s="1" t="inlineStr">
        <is>
          <t>2_Заезд</t>
        </is>
      </c>
      <c r="B408" s="1" t="n">
        <v>41</v>
      </c>
      <c r="C408" s="1" t="inlineStr">
        <is>
          <t>Общее</t>
        </is>
      </c>
      <c r="D408" s="1" t="inlineStr">
        <is>
          <t>Стиральная машина</t>
        </is>
      </c>
      <c r="E408" s="1" t="inlineStr">
        <is>
          <t>шт</t>
        </is>
      </c>
      <c r="F408" s="1" t="inlineStr">
        <is>
          <t>МИН</t>
        </is>
      </c>
      <c r="G408" s="1" t="inlineStr">
        <is>
          <t>LG F2Y1NS3W, 6 кг, фронтальная</t>
        </is>
      </c>
      <c r="H408" s="43" t="n">
        <v>27990</v>
      </c>
      <c r="I408" s="43" t="n">
        <v>25000</v>
      </c>
      <c r="J408" s="44" t="n">
        <v>12</v>
      </c>
      <c r="K408" s="1" t="inlineStr">
        <is>
          <t>Ситилинк</t>
        </is>
      </c>
      <c r="L408" s="1" t="inlineStr">
        <is>
          <t>Саратов</t>
        </is>
      </c>
      <c r="M408" s="45" t="inlineStr">
        <is>
          <t>https://www.citilink.ru/product/stiralnaya-mashina-lg-f2y1ns3w-abwpcom-kl-a-front-maks-6kg-belyi-2174333/</t>
        </is>
      </c>
      <c r="N408" s="1" t="inlineStr">
        <is>
          <t>страница</t>
        </is>
      </c>
      <c r="O408" s="1" t="inlineStr">
        <is>
          <t>2026-09-11</t>
        </is>
      </c>
      <c r="P408" s="46" t="inlineStr">
        <is>
          <t>ок</t>
        </is>
      </c>
      <c r="Q408" s="1" t="inlineStr">
        <is>
          <t>В смету укладываются Hyundai WME6004 6 кг инвертор 20 290 ₽ и Indesit IWSD 51051 5 кг 20 990 ₽ (та же страница). DNS — 401.</t>
        </is>
      </c>
    </row>
    <row r="409">
      <c r="A409" s="1" t="inlineStr">
        <is>
          <t>2_Заезд</t>
        </is>
      </c>
      <c r="B409" s="1" t="n">
        <v>41</v>
      </c>
      <c r="C409" s="1" t="inlineStr">
        <is>
          <t>Общее</t>
        </is>
      </c>
      <c r="D409" s="1" t="inlineStr">
        <is>
          <t>Стиральная машина</t>
        </is>
      </c>
      <c r="E409" s="1" t="inlineStr">
        <is>
          <t>шт</t>
        </is>
      </c>
      <c r="F409" s="1" t="inlineStr">
        <is>
          <t>СРЕД</t>
        </is>
      </c>
      <c r="G409" s="1" t="inlineStr">
        <is>
          <t>LG F2V3GS3W, 8,5 кг, инвертор</t>
        </is>
      </c>
      <c r="H409" s="43" t="n">
        <v>41990</v>
      </c>
      <c r="I409" s="43" t="n">
        <v>45000</v>
      </c>
      <c r="J409" s="44" t="n">
        <v>-6.7</v>
      </c>
      <c r="K409" s="1" t="inlineStr">
        <is>
          <t>Ситилинк</t>
        </is>
      </c>
      <c r="L409" s="1" t="inlineStr">
        <is>
          <t>Саратов</t>
        </is>
      </c>
      <c r="M409" s="45" t="inlineStr">
        <is>
          <t>https://www.citilink.ru/product/stiralnaya-mashina-lg-f2v3gs3w-kl-a-front-maks-8-5kg-belyi-1862118/</t>
        </is>
      </c>
      <c r="N409" s="1" t="inlineStr">
        <is>
          <t>страница</t>
        </is>
      </c>
      <c r="O409" s="1" t="inlineStr">
        <is>
          <t>2026-09-11</t>
        </is>
      </c>
      <c r="P409" s="46" t="inlineStr">
        <is>
          <t>ок</t>
        </is>
      </c>
      <c r="Q409" s="1" t="inlineStr">
        <is>
          <t>Сниппет Эльдорадо: Haier HW60-BP12929A 6 кг — 33 990 ₽.</t>
        </is>
      </c>
    </row>
    <row r="410">
      <c r="A410" s="1" t="inlineStr">
        <is>
          <t>2_Заезд</t>
        </is>
      </c>
      <c r="B410" s="1" t="n">
        <v>41</v>
      </c>
      <c r="C410" s="1" t="inlineStr">
        <is>
          <t>Общее</t>
        </is>
      </c>
      <c r="D410" s="1" t="inlineStr">
        <is>
          <t>Стиральная машина</t>
        </is>
      </c>
      <c r="E410" s="1" t="inlineStr">
        <is>
          <t>шт</t>
        </is>
      </c>
      <c r="F410" s="1" t="inlineStr">
        <is>
          <t>МАКС</t>
        </is>
      </c>
      <c r="G410" s="1" t="inlineStr">
        <is>
          <t>LG F2V9GC9W, 8,5 кг, с сушкой, пар, инвертор</t>
        </is>
      </c>
      <c r="H410" s="43" t="n">
        <v>59990</v>
      </c>
      <c r="I410" s="43" t="n">
        <v>100000</v>
      </c>
      <c r="J410" s="48" t="n">
        <v>-40</v>
      </c>
      <c r="K410" s="1" t="inlineStr">
        <is>
          <t>Ситилинк</t>
        </is>
      </c>
      <c r="L410" s="1" t="inlineStr">
        <is>
          <t>Саратов</t>
        </is>
      </c>
      <c r="M410" s="45" t="inlineStr">
        <is>
          <t>https://www.citilink.ru/product/stiralnaya-mashina-lg-f2v9gc9w-kl-a-front-maks-8-5kg-belyi-2002200/</t>
        </is>
      </c>
      <c r="N410" s="1" t="inlineStr">
        <is>
          <t>страница</t>
        </is>
      </c>
      <c r="O410" s="1" t="inlineStr">
        <is>
          <t>2026-09-11</t>
        </is>
      </c>
      <c r="P410" s="46" t="inlineStr">
        <is>
          <t>ок</t>
        </is>
      </c>
      <c r="Q410" s="1" t="inlineStr">
        <is>
          <t>Единственная LG с сушкой в Ситилинке. Премиум (Bosch/Miele) за 100 000 не проверен — смета МАКС с запасом.</t>
        </is>
      </c>
    </row>
    <row r="411">
      <c r="A411" s="1" t="inlineStr">
        <is>
          <t>2_Заезд</t>
        </is>
      </c>
      <c r="B411" s="1" t="n">
        <v>41</v>
      </c>
      <c r="C411" s="1" t="inlineStr">
        <is>
          <t>Общее</t>
        </is>
      </c>
      <c r="D411" s="1" t="inlineStr">
        <is>
          <t>Стиральная машина</t>
        </is>
      </c>
      <c r="E411" s="1" t="inlineStr">
        <is>
          <t>шт</t>
        </is>
      </c>
      <c r="F411" s="1" t="inlineStr">
        <is>
          <t>ВСЕ</t>
        </is>
      </c>
      <c r="G411" s="1" t="inlineStr">
        <is>
          <t>Авито Саратов — поиск «Стиральная машина» (новые товары магазинов и объявления)</t>
        </is>
      </c>
      <c r="H411" s="43" t="n"/>
      <c r="I411" s="43" t="n"/>
      <c r="J411" s="44" t="n"/>
      <c r="K411" s="1" t="inlineStr">
        <is>
          <t>Авито Саратов</t>
        </is>
      </c>
      <c r="L411" s="1" t="inlineStr">
        <is>
          <t>Саратов</t>
        </is>
      </c>
      <c r="M411" s="45" t="inlineStr">
        <is>
          <t>https://www.avito.ru/saratov?q=%D0%A1%D1%82%D0%B8%D1%80%D0%B0%D0%BB%D1%8C%D0%BD%D0%B0%D1%8F%20%D0%BC%D0%B0%D1%88%D0%B8%D0%BD%D0%B0</t>
        </is>
      </c>
      <c r="N411" s="1" t="inlineStr">
        <is>
          <t>не проверено</t>
        </is>
      </c>
      <c r="O411" s="1" t="inlineStr">
        <is>
          <t>2026-09-11</t>
        </is>
      </c>
      <c r="P411" s="47" t="inlineStr">
        <is>
          <t>уточнить</t>
        </is>
      </c>
      <c r="Q41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12">
      <c r="A412" s="1" t="inlineStr">
        <is>
          <t>2_Заезд</t>
        </is>
      </c>
      <c r="B412" s="1" t="n">
        <v>42</v>
      </c>
      <c r="C412" s="1" t="inlineStr">
        <is>
          <t>Общее</t>
        </is>
      </c>
      <c r="D412" s="1" t="inlineStr">
        <is>
          <t>Пылесос</t>
        </is>
      </c>
      <c r="E412" s="1" t="inlineStr">
        <is>
          <t>шт</t>
        </is>
      </c>
      <c r="F412" s="1" t="inlineStr">
        <is>
          <t>МИН</t>
        </is>
      </c>
      <c r="G412" s="1" t="inlineStr">
        <is>
          <t>Samsung VCC4520S36/XEV, 1600 Вт, мешковой</t>
        </is>
      </c>
      <c r="H412" s="43" t="n">
        <v>5990</v>
      </c>
      <c r="I412" s="43" t="n">
        <v>8000</v>
      </c>
      <c r="J412" s="44" t="n">
        <v>-25.1</v>
      </c>
      <c r="K412" s="1" t="inlineStr">
        <is>
          <t>Ситилинк</t>
        </is>
      </c>
      <c r="L412" s="1" t="inlineStr">
        <is>
          <t>Саратов</t>
        </is>
      </c>
      <c r="M412" s="45" t="inlineStr">
        <is>
          <t>https://www.citilink.ru/product/pylesos-samsung-vcc4520s36-xev-1600vt-sinii-chernyi-1054982/</t>
        </is>
      </c>
      <c r="N412" s="1" t="inlineStr">
        <is>
          <t>страница</t>
        </is>
      </c>
      <c r="O412" s="1" t="inlineStr">
        <is>
          <t>2026-09-11</t>
        </is>
      </c>
      <c r="P412" s="46" t="inlineStr">
        <is>
          <t>ок</t>
        </is>
      </c>
      <c r="Q412" s="1" t="inlineStr">
        <is>
          <t>Вертикальный Xiaomi G20 Lite EU — 8 749 ₽ (страница) как альтернатива.</t>
        </is>
      </c>
    </row>
    <row r="413">
      <c r="A413" s="1" t="inlineStr">
        <is>
          <t>2_Заезд</t>
        </is>
      </c>
      <c r="B413" s="1" t="n">
        <v>42</v>
      </c>
      <c r="C413" s="1" t="inlineStr">
        <is>
          <t>Общее</t>
        </is>
      </c>
      <c r="D413" s="1" t="inlineStr">
        <is>
          <t>Пылесос</t>
        </is>
      </c>
      <c r="E413" s="1" t="inlineStr">
        <is>
          <t>шт</t>
        </is>
      </c>
      <c r="F413" s="1" t="inlineStr">
        <is>
          <t>СРЕД</t>
        </is>
      </c>
      <c r="G413" s="1" t="inlineStr">
        <is>
          <t>Xiaomi Robot Vacuum S20+, робот с влажной уборкой</t>
        </is>
      </c>
      <c r="H413" s="43" t="n">
        <v>27860</v>
      </c>
      <c r="I413" s="43" t="n">
        <v>25000</v>
      </c>
      <c r="J413" s="44" t="n">
        <v>11.4</v>
      </c>
      <c r="K413" s="1" t="inlineStr">
        <is>
          <t>Ситилинк</t>
        </is>
      </c>
      <c r="L413" s="1" t="inlineStr">
        <is>
          <t>Саратов</t>
        </is>
      </c>
      <c r="M413" s="45" t="inlineStr">
        <is>
          <t>https://www.citilink.ru/product/pylesos-robot-xiaomi-robot-vacuum-s20-55vt-belyi-2046983/</t>
        </is>
      </c>
      <c r="N413" s="1" t="inlineStr">
        <is>
          <t>страница</t>
        </is>
      </c>
      <c r="O413" s="1" t="inlineStr">
        <is>
          <t>2026-09-11</t>
        </is>
      </c>
      <c r="P413" s="46" t="inlineStr">
        <is>
          <t>ок</t>
        </is>
      </c>
      <c r="Q413" s="1" t="inlineStr">
        <is>
          <t>Дешевле: Xiaomi S40 16 549 ₽, TROUVER E20 Plus 21 990 ₽ (та же страница).</t>
        </is>
      </c>
    </row>
    <row r="414">
      <c r="A414" s="1" t="inlineStr">
        <is>
          <t>2_Заезд</t>
        </is>
      </c>
      <c r="B414" s="1" t="n">
        <v>42</v>
      </c>
      <c r="C414" s="1" t="inlineStr">
        <is>
          <t>Общее</t>
        </is>
      </c>
      <c r="D414" s="1" t="inlineStr">
        <is>
          <t>Пылесос</t>
        </is>
      </c>
      <c r="E414" s="1" t="inlineStr">
        <is>
          <t>шт</t>
        </is>
      </c>
      <c r="F414" s="1" t="inlineStr">
        <is>
          <t>МАКС</t>
        </is>
      </c>
      <c r="G414" s="1" t="inlineStr">
        <is>
          <t>Робот Xiaomi Robot Vacuum S20+ 27 860 + вертикальный Xiaomi G20 Lite EU 8 749</t>
        </is>
      </c>
      <c r="H414" s="43" t="n">
        <v>36609</v>
      </c>
      <c r="I414" s="43" t="n">
        <v>60000</v>
      </c>
      <c r="J414" s="48" t="n">
        <v>-39</v>
      </c>
      <c r="K414" s="1" t="inlineStr">
        <is>
          <t>Ситилинк</t>
        </is>
      </c>
      <c r="L414" s="1" t="inlineStr">
        <is>
          <t>Саратов</t>
        </is>
      </c>
      <c r="M414" s="45" t="inlineStr">
        <is>
          <t>https://www.citilink.ru/catalog/roboty-pylesosy/</t>
        </is>
      </c>
      <c r="N414" s="1" t="inlineStr">
        <is>
          <t>страница</t>
        </is>
      </c>
      <c r="O414" s="1" t="inlineStr">
        <is>
          <t>2026-09-11</t>
        </is>
      </c>
      <c r="P414" s="46" t="inlineStr">
        <is>
          <t>ок</t>
        </is>
      </c>
      <c r="Q414" s="1" t="inlineStr">
        <is>
          <t>С топ-роботом Dreame L40s Pro Ultra (84 990) комплект = 93 739 ₽ — выше сметы; 60 000 = средний робот + вертикальный.</t>
        </is>
      </c>
    </row>
    <row r="415">
      <c r="A415" s="1" t="inlineStr">
        <is>
          <t>2_Заезд</t>
        </is>
      </c>
      <c r="B415" s="1" t="n">
        <v>42</v>
      </c>
      <c r="C415" s="1" t="inlineStr">
        <is>
          <t>Общее</t>
        </is>
      </c>
      <c r="D415" s="1" t="inlineStr">
        <is>
          <t>Пылесос</t>
        </is>
      </c>
      <c r="E415" s="1" t="inlineStr">
        <is>
          <t>шт</t>
        </is>
      </c>
      <c r="F415" s="1" t="inlineStr">
        <is>
          <t>ВСЕ</t>
        </is>
      </c>
      <c r="G415" s="1" t="inlineStr">
        <is>
          <t>Авито Саратов — поиск «Пылесос» (новые товары магазинов и объявления)</t>
        </is>
      </c>
      <c r="H415" s="43" t="n"/>
      <c r="I415" s="43" t="n"/>
      <c r="J415" s="44" t="n"/>
      <c r="K415" s="1" t="inlineStr">
        <is>
          <t>Авито Саратов</t>
        </is>
      </c>
      <c r="L415" s="1" t="inlineStr">
        <is>
          <t>Саратов</t>
        </is>
      </c>
      <c r="M415" s="45" t="inlineStr">
        <is>
          <t>https://www.avito.ru/saratov?q=%D0%9F%D1%8B%D0%BB%D0%B5%D1%81%D0%BE%D1%81</t>
        </is>
      </c>
      <c r="N415" s="1" t="inlineStr">
        <is>
          <t>не проверено</t>
        </is>
      </c>
      <c r="O415" s="1" t="inlineStr">
        <is>
          <t>2026-09-11</t>
        </is>
      </c>
      <c r="P415" s="47" t="inlineStr">
        <is>
          <t>уточнить</t>
        </is>
      </c>
      <c r="Q41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16">
      <c r="A416" s="1" t="inlineStr">
        <is>
          <t>2_Заезд</t>
        </is>
      </c>
      <c r="B416" s="1" t="n">
        <v>43</v>
      </c>
      <c r="C416" s="1" t="inlineStr">
        <is>
          <t>Общее</t>
        </is>
      </c>
      <c r="D416" s="1" t="inlineStr">
        <is>
          <t>Роутер / интернет-подключение</t>
        </is>
      </c>
      <c r="E416" s="1" t="inlineStr">
        <is>
          <t>компл</t>
        </is>
      </c>
      <c r="F416" s="1" t="inlineStr">
        <is>
          <t>МИН</t>
        </is>
      </c>
      <c r="G416" s="1" t="inlineStr">
        <is>
          <t>TP-Link Archer C54, AC1200, Wi-Fi 5</t>
        </is>
      </c>
      <c r="H416" s="43" t="n">
        <v>2026</v>
      </c>
      <c r="I416" s="43" t="n">
        <v>3000</v>
      </c>
      <c r="J416" s="48" t="n">
        <v>-32.5</v>
      </c>
      <c r="K416" s="1" t="inlineStr">
        <is>
          <t>Ситилинк</t>
        </is>
      </c>
      <c r="L416" s="1" t="inlineStr">
        <is>
          <t>Саратов</t>
        </is>
      </c>
      <c r="M416" s="45" t="inlineStr">
        <is>
          <t>https://www.citilink.ru/product/wi-fi-router-tp-link-archer-c54-ac1200-chernyi-1413375/</t>
        </is>
      </c>
      <c r="N416" s="1" t="inlineStr">
        <is>
          <t>страница</t>
        </is>
      </c>
      <c r="O416" s="1" t="inlineStr">
        <is>
          <t>2026-09-11</t>
        </is>
      </c>
      <c r="P416" s="46" t="inlineStr">
        <is>
          <t>ок</t>
        </is>
      </c>
      <c r="Q416" s="1" t="inlineStr">
        <is>
          <t>Подключение провайдера не включено.</t>
        </is>
      </c>
    </row>
    <row r="417">
      <c r="A417" s="1" t="inlineStr">
        <is>
          <t>2_Заезд</t>
        </is>
      </c>
      <c r="B417" s="1" t="n">
        <v>43</v>
      </c>
      <c r="C417" s="1" t="inlineStr">
        <is>
          <t>Общее</t>
        </is>
      </c>
      <c r="D417" s="1" t="inlineStr">
        <is>
          <t>Роутер / интернет-подключение</t>
        </is>
      </c>
      <c r="E417" s="1" t="inlineStr">
        <is>
          <t>компл</t>
        </is>
      </c>
      <c r="F417" s="1" t="inlineStr">
        <is>
          <t>СРЕД</t>
        </is>
      </c>
      <c r="G417" s="1" t="inlineStr">
        <is>
          <t>TP-Link Archer AX53, AX3000, Wi-Fi 6</t>
        </is>
      </c>
      <c r="H417" s="43" t="n">
        <v>5199</v>
      </c>
      <c r="I417" s="43" t="n">
        <v>6000</v>
      </c>
      <c r="J417" s="44" t="n">
        <v>-13.4</v>
      </c>
      <c r="K417" s="1" t="inlineStr">
        <is>
          <t>Ситилинк</t>
        </is>
      </c>
      <c r="L417" s="1" t="inlineStr">
        <is>
          <t>Саратов</t>
        </is>
      </c>
      <c r="M417" s="45" t="inlineStr">
        <is>
          <t>https://www.citilink.ru/product/wi-fi-router-tp-link-archer-ax53-ax3000-chernyi-1701383/</t>
        </is>
      </c>
      <c r="N417" s="1" t="inlineStr">
        <is>
          <t>страница</t>
        </is>
      </c>
      <c r="O417" s="1" t="inlineStr">
        <is>
          <t>2026-09-11</t>
        </is>
      </c>
      <c r="P417" s="46" t="inlineStr">
        <is>
          <t>ок</t>
        </is>
      </c>
      <c r="Q417" s="1" t="inlineStr">
        <is>
          <t>Archer AX12 AX1500 — 3 399 ₽ как бюджетный Wi-Fi 6.</t>
        </is>
      </c>
    </row>
    <row r="418">
      <c r="A418" s="1" t="inlineStr">
        <is>
          <t>2_Заезд</t>
        </is>
      </c>
      <c r="B418" s="1" t="n">
        <v>43</v>
      </c>
      <c r="C418" s="1" t="inlineStr">
        <is>
          <t>Общее</t>
        </is>
      </c>
      <c r="D418" s="1" t="inlineStr">
        <is>
          <t>Роутер / интернет-подключение</t>
        </is>
      </c>
      <c r="E418" s="1" t="inlineStr">
        <is>
          <t>компл</t>
        </is>
      </c>
      <c r="F418" s="1" t="inlineStr">
        <is>
          <t>МАКС</t>
        </is>
      </c>
      <c r="G418" s="1" t="inlineStr">
        <is>
          <t>TP-Link Archer AX73, AX5400, Wi-Fi 6</t>
        </is>
      </c>
      <c r="H418" s="43" t="n">
        <v>10799</v>
      </c>
      <c r="I418" s="43" t="n">
        <v>12000</v>
      </c>
      <c r="J418" s="44" t="n">
        <v>-10</v>
      </c>
      <c r="K418" s="1" t="inlineStr">
        <is>
          <t>Ситилинк</t>
        </is>
      </c>
      <c r="L418" s="1" t="inlineStr">
        <is>
          <t>Саратов</t>
        </is>
      </c>
      <c r="M418" s="45" t="inlineStr">
        <is>
          <t>https://www.citilink.ru/product/wi-fi-router-tp-link-archer-ax73-ax5400-chernyi-1456375/</t>
        </is>
      </c>
      <c r="N418" s="1" t="inlineStr">
        <is>
          <t>страница</t>
        </is>
      </c>
      <c r="O418" s="1" t="inlineStr">
        <is>
          <t>2026-09-11</t>
        </is>
      </c>
      <c r="P418" s="46" t="inlineStr">
        <is>
          <t>ок</t>
        </is>
      </c>
      <c r="Q418" s="1" t="inlineStr">
        <is>
          <t>Подключение провайдера не включено.</t>
        </is>
      </c>
    </row>
    <row r="419">
      <c r="A419" s="1" t="inlineStr">
        <is>
          <t>2_Заезд</t>
        </is>
      </c>
      <c r="B419" s="1" t="n">
        <v>43</v>
      </c>
      <c r="C419" s="1" t="inlineStr">
        <is>
          <t>Общее</t>
        </is>
      </c>
      <c r="D419" s="1" t="inlineStr">
        <is>
          <t>Роутер / интернет-подключение</t>
        </is>
      </c>
      <c r="E419" s="1" t="inlineStr">
        <is>
          <t>компл</t>
        </is>
      </c>
      <c r="F419" s="1" t="inlineStr">
        <is>
          <t>ВСЕ</t>
        </is>
      </c>
      <c r="G419" s="1" t="inlineStr">
        <is>
          <t>Авито Саратов — поиск «Роутер / интернет-подключение» (новые товары магазинов и объявления)</t>
        </is>
      </c>
      <c r="H419" s="43" t="n"/>
      <c r="I419" s="43" t="n"/>
      <c r="J419" s="44" t="n"/>
      <c r="K419" s="1" t="inlineStr">
        <is>
          <t>Авито Саратов</t>
        </is>
      </c>
      <c r="L419" s="1" t="inlineStr">
        <is>
          <t>Саратов</t>
        </is>
      </c>
      <c r="M419" s="45" t="inlineStr">
        <is>
          <t>https://www.avito.ru/saratov?q=%D0%A0%D0%BE%D1%83%D1%82%D0%B5%D1%80%20/%20%D0%B8%D0%BD%D1%82%D0%B5%D1%80%D0%BD%D0%B5%D1%82-%D0%BF%D0%BE%D0%B4%D0%BA%D0%BB%D1%8E%D1%87%D0%B5%D0%BD%D0%B8%D0%B5</t>
        </is>
      </c>
      <c r="N419" s="1" t="inlineStr">
        <is>
          <t>не проверено</t>
        </is>
      </c>
      <c r="O419" s="1" t="inlineStr">
        <is>
          <t>2026-09-11</t>
        </is>
      </c>
      <c r="P419" s="47" t="inlineStr">
        <is>
          <t>уточнить</t>
        </is>
      </c>
      <c r="Q41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20">
      <c r="A420" s="1" t="inlineStr">
        <is>
          <t>2_Заезд</t>
        </is>
      </c>
      <c r="B420" s="1" t="n">
        <v>44</v>
      </c>
      <c r="C420" s="1" t="inlineStr">
        <is>
          <t>Общее</t>
        </is>
      </c>
      <c r="D420" s="1" t="inlineStr">
        <is>
          <t>Полотенца, коврики в санузлы</t>
        </is>
      </c>
      <c r="E420" s="1" t="inlineStr">
        <is>
          <t>компл</t>
        </is>
      </c>
      <c r="F420" s="1" t="inlineStr">
        <is>
          <t>МИН</t>
        </is>
      </c>
      <c r="G420" s="1" t="inlineStr">
        <is>
          <t>Hoff набор ковриков для ванной «Naturale Mulinello» (без полотенец)</t>
        </is>
      </c>
      <c r="H420" s="43" t="n">
        <v>1798</v>
      </c>
      <c r="I420" s="43" t="n">
        <v>3000</v>
      </c>
      <c r="J420" s="48" t="n">
        <v>-40.1</v>
      </c>
      <c r="K420" s="1" t="inlineStr">
        <is>
          <t>Hoff</t>
        </is>
      </c>
      <c r="L420" s="1" t="inlineStr">
        <is>
          <t>Саратов</t>
        </is>
      </c>
      <c r="M420" s="45" t="inlineStr">
        <is>
          <t>https://hoff.ru/catalog/tovary_dlya_doma/aksessuary_dlya_vannoy/tekstil_dlya_vannoy/kovriki/</t>
        </is>
      </c>
      <c r="N420" s="1" t="inlineStr">
        <is>
          <t>сниппет</t>
        </is>
      </c>
      <c r="O420" s="1" t="inlineStr">
        <is>
          <t>2026-09-11</t>
        </is>
      </c>
      <c r="P420" s="47" t="inlineStr">
        <is>
          <t>уточнить</t>
        </is>
      </c>
      <c r="Q420" s="1" t="inlineStr">
        <is>
          <t>Только коврики (скидка от 2 999). Бюджетные полотенца Hoff в сниппетах без цены — отклонение не считаю.</t>
        </is>
      </c>
    </row>
    <row r="421">
      <c r="A421" s="1" t="inlineStr">
        <is>
          <t>2_Заезд</t>
        </is>
      </c>
      <c r="B421" s="1" t="n">
        <v>44</v>
      </c>
      <c r="C421" s="1" t="inlineStr">
        <is>
          <t>Общее</t>
        </is>
      </c>
      <c r="D421" s="1" t="inlineStr">
        <is>
          <t>Полотенца, коврики в санузлы</t>
        </is>
      </c>
      <c r="E421" s="1" t="inlineStr">
        <is>
          <t>компл</t>
        </is>
      </c>
      <c r="F421" s="1" t="inlineStr">
        <is>
          <t>СРЕД</t>
        </is>
      </c>
      <c r="G421" s="1" t="inlineStr">
        <is>
          <t>Hoff полотенце «Tarrasa» 70×140 × 2 (2 027 ₽/шт) + коврики «Naturale Mulinello» 1 798</t>
        </is>
      </c>
      <c r="H421" s="43" t="n">
        <v>5852</v>
      </c>
      <c r="I421" s="43" t="n">
        <v>8000</v>
      </c>
      <c r="J421" s="44" t="n">
        <v>-26.9</v>
      </c>
      <c r="K421" s="1" t="inlineStr">
        <is>
          <t>Hoff (цена по Я.Маркет)</t>
        </is>
      </c>
      <c r="L421" s="1" t="inlineStr">
        <is>
          <t>доставка в Саратов</t>
        </is>
      </c>
      <c r="M421" s="45" t="inlineStr">
        <is>
          <t>https://hoff.ru/catalog/tovary_dlya_doma/tekstil/tekstil_dlya_vannoy/polotentsa_dlya_vannoy/</t>
        </is>
      </c>
      <c r="N421" s="1" t="inlineStr">
        <is>
          <t>сниппет</t>
        </is>
      </c>
      <c r="O421" s="1" t="inlineStr">
        <is>
          <t>2026-09-11</t>
        </is>
      </c>
      <c r="P421" s="47" t="inlineStr">
        <is>
          <t>уточнить</t>
        </is>
      </c>
      <c r="Q421" s="1" t="inlineStr">
        <is>
          <t>Цена полотенца из сниппета Я.Маркет (карточка HOFF Tarrasa), не с hoff.ru — подтвердить на сайте.</t>
        </is>
      </c>
    </row>
    <row r="422">
      <c r="A422" s="1" t="inlineStr">
        <is>
          <t>2_Заезд</t>
        </is>
      </c>
      <c r="B422" s="1" t="n">
        <v>44</v>
      </c>
      <c r="C422" s="1" t="inlineStr">
        <is>
          <t>Общее</t>
        </is>
      </c>
      <c r="D422" s="1" t="inlineStr">
        <is>
          <t>Полотенца, коврики в санузлы</t>
        </is>
      </c>
      <c r="E422" s="1" t="inlineStr">
        <is>
          <t>компл</t>
        </is>
      </c>
      <c r="F422" s="1" t="inlineStr">
        <is>
          <t>МАКС</t>
        </is>
      </c>
      <c r="G422" s="1" t="inlineStr">
        <is>
          <t>Комплект полотенец премиум + коврики (2 санузла)</t>
        </is>
      </c>
      <c r="H422" s="43" t="n"/>
      <c r="I422" s="43" t="n">
        <v>20000</v>
      </c>
      <c r="J422" s="44" t="n"/>
      <c r="K422" s="1" t="inlineStr">
        <is>
          <t>Hoff</t>
        </is>
      </c>
      <c r="L422" s="1" t="inlineStr">
        <is>
          <t>Саратов</t>
        </is>
      </c>
      <c r="M422" s="45" t="inlineStr">
        <is>
          <t>https://hoff.ru/catalog/tovary_dlya_doma/tekstil/tekstil_dlya_vannoy/</t>
        </is>
      </c>
      <c r="N422" s="1" t="inlineStr">
        <is>
          <t>не проверено</t>
        </is>
      </c>
      <c r="O422" s="1" t="inlineStr">
        <is>
          <t>2026-09-11</t>
        </is>
      </c>
      <c r="P422" s="47" t="inlineStr">
        <is>
          <t>уточнить</t>
        </is>
      </c>
      <c r="Q422" s="1" t="inlineStr">
        <is>
          <t>Цены премиум-текстиля на hoff.ru не видны (401).</t>
        </is>
      </c>
    </row>
    <row r="423">
      <c r="A423" s="1" t="inlineStr">
        <is>
          <t>2_Заезд</t>
        </is>
      </c>
      <c r="B423" s="1" t="n">
        <v>44</v>
      </c>
      <c r="C423" s="1" t="inlineStr">
        <is>
          <t>Общее</t>
        </is>
      </c>
      <c r="D423" s="1" t="inlineStr">
        <is>
          <t>Полотенца, коврики в санузлы</t>
        </is>
      </c>
      <c r="E423" s="1" t="inlineStr">
        <is>
          <t>компл</t>
        </is>
      </c>
      <c r="F423" s="1" t="inlineStr">
        <is>
          <t>ВСЕ</t>
        </is>
      </c>
      <c r="G423" s="1" t="inlineStr">
        <is>
          <t>Авито Саратов — поиск «Полотенца, коврики в санузлы» (новые товары магазинов и объявления)</t>
        </is>
      </c>
      <c r="H423" s="43" t="n"/>
      <c r="I423" s="43" t="n"/>
      <c r="J423" s="44" t="n"/>
      <c r="K423" s="1" t="inlineStr">
        <is>
          <t>Авито Саратов</t>
        </is>
      </c>
      <c r="L423" s="1" t="inlineStr">
        <is>
          <t>Саратов</t>
        </is>
      </c>
      <c r="M423" s="45" t="inlineStr">
        <is>
          <t>https://www.avito.ru/saratov?q=%D0%9F%D0%BE%D0%BB%D0%BE%D1%82%D0%B5%D0%BD%D1%86%D0%B0%2C%20%D0%BA%D0%BE%D0%B2%D1%80%D0%B8%D0%BA%D0%B8%20%D0%B2%20%D1%81%D0%B0%D0%BD%D1%83%D0%B7%D0%BB%D1%8B</t>
        </is>
      </c>
      <c r="N423" s="1" t="inlineStr">
        <is>
          <t>не проверено</t>
        </is>
      </c>
      <c r="O423" s="1" t="inlineStr">
        <is>
          <t>2026-09-11</t>
        </is>
      </c>
      <c r="P423" s="47" t="inlineStr">
        <is>
          <t>уточнить</t>
        </is>
      </c>
      <c r="Q42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24">
      <c r="A424" s="1" t="inlineStr">
        <is>
          <t>2_Заезд</t>
        </is>
      </c>
      <c r="B424" s="1" t="n">
        <v>45</v>
      </c>
      <c r="C424" s="1" t="inlineStr">
        <is>
          <t>Общее</t>
        </is>
      </c>
      <c r="D424" s="1" t="inlineStr">
        <is>
          <t>Утюг, гладильная доска, сушилка</t>
        </is>
      </c>
      <c r="E424" s="1" t="inlineStr">
        <is>
          <t>компл</t>
        </is>
      </c>
      <c r="F424" s="1" t="inlineStr">
        <is>
          <t>МИН</t>
        </is>
      </c>
      <c r="G424" s="1" t="inlineStr">
        <is>
          <t>Утюг StarWind SIR2430 2 290 + доска NIKA Bell unior 1 (112×35) 1 736 + сушилка NIKA СБ3 1 010</t>
        </is>
      </c>
      <c r="H424" s="43" t="n">
        <v>5036</v>
      </c>
      <c r="I424" s="43" t="n">
        <v>5000</v>
      </c>
      <c r="J424" s="44" t="n">
        <v>0.7</v>
      </c>
      <c r="K424" s="1" t="inlineStr">
        <is>
          <t>Ситилинк</t>
        </is>
      </c>
      <c r="L424" s="1" t="inlineStr">
        <is>
          <t>Саратов</t>
        </is>
      </c>
      <c r="M424" s="45" t="inlineStr">
        <is>
          <t>https://www.citilink.ru/catalog/utyugi/</t>
        </is>
      </c>
      <c r="N424" s="1" t="inlineStr">
        <is>
          <t>страница</t>
        </is>
      </c>
      <c r="O424" s="1" t="inlineStr">
        <is>
          <t>2026-09-11</t>
        </is>
      </c>
      <c r="P424" s="46" t="inlineStr">
        <is>
          <t>ок</t>
        </is>
      </c>
      <c r="Q424" s="1" t="inlineStr">
        <is>
          <t>Утюг и доска — со страниц каталога; сушилка NIKA СБ3 — сниппет Ситилинка (1 010 ₽, клубная 1 000).</t>
        </is>
      </c>
    </row>
    <row r="425">
      <c r="A425" s="1" t="inlineStr">
        <is>
          <t>2_Заезд</t>
        </is>
      </c>
      <c r="B425" s="1" t="n">
        <v>45</v>
      </c>
      <c r="C425" s="1" t="inlineStr">
        <is>
          <t>Общее</t>
        </is>
      </c>
      <c r="D425" s="1" t="inlineStr">
        <is>
          <t>Утюг, гладильная доска, сушилка</t>
        </is>
      </c>
      <c r="E425" s="1" t="inlineStr">
        <is>
          <t>компл</t>
        </is>
      </c>
      <c r="F425" s="1" t="inlineStr">
        <is>
          <t>СРЕД</t>
        </is>
      </c>
      <c r="G425" s="1" t="inlineStr">
        <is>
          <t>Утюг Tefal FV2837E0 2 899 + доска NIKA 10+ (122×40) 4 331 + сушилка NIKA СБТ18 2 750</t>
        </is>
      </c>
      <c r="H425" s="43" t="n">
        <v>9980</v>
      </c>
      <c r="I425" s="43" t="n">
        <v>10000</v>
      </c>
      <c r="J425" s="44" t="n">
        <v>-0.2</v>
      </c>
      <c r="K425" s="1" t="inlineStr">
        <is>
          <t>Ситилинк</t>
        </is>
      </c>
      <c r="L425" s="1" t="inlineStr">
        <is>
          <t>Саратов</t>
        </is>
      </c>
      <c r="M425" s="45" t="inlineStr">
        <is>
          <t>https://www.citilink.ru/catalog/gladilnye-doski/</t>
        </is>
      </c>
      <c r="N425" s="1" t="inlineStr">
        <is>
          <t>страница</t>
        </is>
      </c>
      <c r="O425" s="1" t="inlineStr">
        <is>
          <t>2026-09-11</t>
        </is>
      </c>
      <c r="P425" s="46" t="inlineStr">
        <is>
          <t>ок</t>
        </is>
      </c>
      <c r="Q425" s="1" t="inlineStr">
        <is>
          <t>Сушилка СБТ18 — сниппет Ситилинка.</t>
        </is>
      </c>
    </row>
    <row r="426">
      <c r="A426" s="1" t="inlineStr">
        <is>
          <t>2_Заезд</t>
        </is>
      </c>
      <c r="B426" s="1" t="n">
        <v>45</v>
      </c>
      <c r="C426" s="1" t="inlineStr">
        <is>
          <t>Общее</t>
        </is>
      </c>
      <c r="D426" s="1" t="inlineStr">
        <is>
          <t>Утюг, гладильная доска, сушилка</t>
        </is>
      </c>
      <c r="E426" s="1" t="inlineStr">
        <is>
          <t>компл</t>
        </is>
      </c>
      <c r="F426" s="1" t="inlineStr">
        <is>
          <t>МАКС</t>
        </is>
      </c>
      <c r="G426" s="1" t="inlineStr">
        <is>
          <t>Утюг Hyundai H-SIP2700 4 290 + доска NIKA Valencia 2 (123,5×46) 7 130 + сушилка NIKA СБТ18 2 750</t>
        </is>
      </c>
      <c r="H426" s="43" t="n">
        <v>14170</v>
      </c>
      <c r="I426" s="43" t="n">
        <v>25000</v>
      </c>
      <c r="J426" s="48" t="n">
        <v>-43.3</v>
      </c>
      <c r="K426" s="1" t="inlineStr">
        <is>
          <t>Ситилинк</t>
        </is>
      </c>
      <c r="L426" s="1" t="inlineStr">
        <is>
          <t>Саратов</t>
        </is>
      </c>
      <c r="M426" s="45" t="inlineStr">
        <is>
          <t>https://www.citilink.ru/catalog/gladilnye-doski/</t>
        </is>
      </c>
      <c r="N426" s="1" t="inlineStr">
        <is>
          <t>страница</t>
        </is>
      </c>
      <c r="O426" s="1" t="inlineStr">
        <is>
          <t>2026-09-11</t>
        </is>
      </c>
      <c r="P426" s="46" t="inlineStr">
        <is>
          <t>ок</t>
        </is>
      </c>
      <c r="Q426" s="1" t="inlineStr">
        <is>
          <t>Парогенератор (Tefal/Philips 15–20 тыс.) не проверен — 25 000 достижимо только с ним.</t>
        </is>
      </c>
    </row>
    <row r="427">
      <c r="A427" s="1" t="inlineStr">
        <is>
          <t>2_Заезд</t>
        </is>
      </c>
      <c r="B427" s="1" t="n">
        <v>45</v>
      </c>
      <c r="C427" s="1" t="inlineStr">
        <is>
          <t>Общее</t>
        </is>
      </c>
      <c r="D427" s="1" t="inlineStr">
        <is>
          <t>Утюг, гладильная доска, сушилка</t>
        </is>
      </c>
      <c r="E427" s="1" t="inlineStr">
        <is>
          <t>компл</t>
        </is>
      </c>
      <c r="F427" s="1" t="inlineStr">
        <is>
          <t>ВСЕ</t>
        </is>
      </c>
      <c r="G427" s="1" t="inlineStr">
        <is>
          <t>Авито Саратов — поиск «Утюг, гладильная доска, сушилка» (новые товары магазинов и объявления)</t>
        </is>
      </c>
      <c r="H427" s="43" t="n"/>
      <c r="I427" s="43" t="n"/>
      <c r="J427" s="44" t="n"/>
      <c r="K427" s="1" t="inlineStr">
        <is>
          <t>Авито Саратов</t>
        </is>
      </c>
      <c r="L427" s="1" t="inlineStr">
        <is>
          <t>Саратов</t>
        </is>
      </c>
      <c r="M427" s="45" t="inlineStr">
        <is>
          <t>https://www.avito.ru/saratov?q=%D0%A3%D1%82%D1%8E%D0%B3%2C%20%D0%B3%D0%BB%D0%B0%D0%B4%D0%B8%D0%BB%D1%8C%D0%BD%D0%B0%D1%8F%20%D0%B4%D0%BE%D1%81%D0%BA%D0%B0%2C%20%D1%81%D1%83%D1%88%D0%B8%D0%BB%D0%BA%D0%B0</t>
        </is>
      </c>
      <c r="N427" s="1" t="inlineStr">
        <is>
          <t>не проверено</t>
        </is>
      </c>
      <c r="O427" s="1" t="inlineStr">
        <is>
          <t>2026-09-11</t>
        </is>
      </c>
      <c r="P427" s="47" t="inlineStr">
        <is>
          <t>уточнить</t>
        </is>
      </c>
      <c r="Q42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28">
      <c r="A428" s="1" t="inlineStr">
        <is>
          <t>2_Заезд</t>
        </is>
      </c>
      <c r="B428" s="1" t="n">
        <v>46</v>
      </c>
      <c r="C428" s="1" t="inlineStr">
        <is>
          <t>Работы</t>
        </is>
      </c>
      <c r="D428" s="1" t="inlineStr">
        <is>
          <t>Сборка и установка кухни, подключение техники</t>
        </is>
      </c>
      <c r="E428" s="1" t="inlineStr">
        <is>
          <t>компл</t>
        </is>
      </c>
      <c r="F428" s="1" t="inlineStr">
        <is>
          <t>МИН</t>
        </is>
      </c>
      <c r="G428" s="1" t="inlineStr">
        <is>
          <t>частник Profi.ru Саратов (сборка кухонного гарнитура)</t>
        </is>
      </c>
      <c r="H428" s="43" t="n">
        <v>4000</v>
      </c>
      <c r="I428" s="43" t="n">
        <v>8000</v>
      </c>
      <c r="J428" s="48" t="n">
        <v>-50</v>
      </c>
      <c r="K428" s="1" t="inlineStr">
        <is>
          <t>Profi.ru Саратов</t>
        </is>
      </c>
      <c r="L428" s="1" t="inlineStr">
        <is>
          <t>Саратов</t>
        </is>
      </c>
      <c r="M428" s="45" t="inlineStr">
        <is>
          <t>https://profi.ru/geo-saratov/remont/mebel/sborka-mebeli/sborka-kuhonnogo-garnitura/</t>
        </is>
      </c>
      <c r="N428" s="1" t="inlineStr">
        <is>
          <t>сниппет</t>
        </is>
      </c>
      <c r="O428" s="1" t="inlineStr">
        <is>
          <t>2026-09-11</t>
        </is>
      </c>
      <c r="P428" s="47" t="inlineStr">
        <is>
          <t>уточнить</t>
        </is>
      </c>
      <c r="Q428" s="1" t="inlineStr">
        <is>
          <t>«от 1 000 ₽/пог.м» × 3,5 п.м ≈ 3 500 ₽ (округлено до 4 000 с врезкой мойки); подключение техники не входит — состав неполный</t>
        </is>
      </c>
    </row>
    <row r="429">
      <c r="A429" s="1" t="inlineStr">
        <is>
          <t>2_Заезд</t>
        </is>
      </c>
      <c r="B429" s="1" t="n">
        <v>46</v>
      </c>
      <c r="C429" s="1" t="inlineStr">
        <is>
          <t>Работы</t>
        </is>
      </c>
      <c r="D429" s="1" t="inlineStr">
        <is>
          <t>Сборка и установка кухни, подключение техники</t>
        </is>
      </c>
      <c r="E429" s="1" t="inlineStr">
        <is>
          <t>компл</t>
        </is>
      </c>
      <c r="F429" s="1" t="inlineStr">
        <is>
          <t>СРЕД</t>
        </is>
      </c>
      <c r="G429" s="1" t="inlineStr">
        <is>
          <t>служба Гормастер (сборка кухни + техника)</t>
        </is>
      </c>
      <c r="H429" s="43" t="n">
        <v>10700</v>
      </c>
      <c r="I429" s="43" t="n">
        <v>25000</v>
      </c>
      <c r="J429" s="48" t="n">
        <v>-57.2</v>
      </c>
      <c r="K429" s="1" t="inlineStr">
        <is>
          <t>Гормастер Саратов</t>
        </is>
      </c>
      <c r="L429" s="1" t="inlineStr">
        <is>
          <t>Саратов</t>
        </is>
      </c>
      <c r="M429" s="45" t="inlineStr">
        <is>
          <t>https://saratov.gor-master.ru/sborka-ustanovka-kuhni</t>
        </is>
      </c>
      <c r="N429" s="1" t="inlineStr">
        <is>
          <t>страница</t>
        </is>
      </c>
      <c r="O429" s="1" t="inlineStr">
        <is>
          <t>2026-09-11</t>
        </is>
      </c>
      <c r="P429" s="46" t="inlineStr">
        <is>
          <t>ок</t>
        </is>
      </c>
      <c r="Q429" s="1" t="inlineStr">
        <is>
          <t>10 модулей × 500 + мойка с подключением 800 + столешница 2 000 + ПММ 1 500 + вытяжка 400 + духовка/СВЧ 1 000 = 10 700 ₽; masterabyta: сборка кухни от 1 100 ₽/п.м</t>
        </is>
      </c>
    </row>
    <row r="430">
      <c r="A430" s="1" t="inlineStr">
        <is>
          <t>2_Заезд</t>
        </is>
      </c>
      <c r="B430" s="1" t="n">
        <v>46</v>
      </c>
      <c r="C430" s="1" t="inlineStr">
        <is>
          <t>Работы</t>
        </is>
      </c>
      <c r="D430" s="1" t="inlineStr">
        <is>
          <t>Сборка и установка кухни, подключение техники</t>
        </is>
      </c>
      <c r="E430" s="1" t="inlineStr">
        <is>
          <t>компл</t>
        </is>
      </c>
      <c r="F430" s="1" t="inlineStr">
        <is>
          <t>МАКС</t>
        </is>
      </c>
      <c r="G430" s="1" t="inlineStr">
        <is>
          <t>верх диапазона Profi.ru / магазин (Hoff)</t>
        </is>
      </c>
      <c r="H430" s="43" t="n">
        <v>12000</v>
      </c>
      <c r="I430" s="43" t="n">
        <v>50000</v>
      </c>
      <c r="J430" s="48" t="n">
        <v>-76</v>
      </c>
      <c r="K430" s="1" t="inlineStr">
        <is>
          <t>Profi.ru Саратов</t>
        </is>
      </c>
      <c r="L430" s="1" t="inlineStr">
        <is>
          <t>Саратов</t>
        </is>
      </c>
      <c r="M430" s="45" t="inlineStr">
        <is>
          <t>https://profi.ru/geo-saratov/remont/mebel/sborka-mebeli/sborka-kuhonnogo-garnitura/</t>
        </is>
      </c>
      <c r="N430" s="1" t="inlineStr">
        <is>
          <t>сниппет</t>
        </is>
      </c>
      <c r="O430" s="1" t="inlineStr">
        <is>
          <t>2026-09-11</t>
        </is>
      </c>
      <c r="P430" s="46" t="inlineStr">
        <is>
          <t>ок</t>
        </is>
      </c>
      <c r="Q430" s="1" t="inlineStr">
        <is>
          <t>Profi максимум 12 000 ₽; Hoff: 8 % от стоимости кухни (кухня 300 тыс. → ~24 000), кухни Leya/Nika 2 149 ₽/гарнитур — hoff.ru закрыт 401, данные из сниппета</t>
        </is>
      </c>
    </row>
    <row r="431">
      <c r="A431" s="1" t="inlineStr">
        <is>
          <t>2_Заезд</t>
        </is>
      </c>
      <c r="B431" s="1" t="n">
        <v>46</v>
      </c>
      <c r="C431" s="1" t="inlineStr">
        <is>
          <t>Работы</t>
        </is>
      </c>
      <c r="D431" s="1" t="inlineStr">
        <is>
          <t>Сборка и установка кухни, подключение техники</t>
        </is>
      </c>
      <c r="E431" s="1" t="inlineStr">
        <is>
          <t>компл</t>
        </is>
      </c>
      <c r="F431" s="1" t="inlineStr">
        <is>
          <t>ВСЕ</t>
        </is>
      </c>
      <c r="G431" s="1" t="inlineStr">
        <is>
          <t>Авито Саратов — поиск «Сборка и установка кухни, подключение техники» (услуги мастеров)</t>
        </is>
      </c>
      <c r="H431" s="43" t="n"/>
      <c r="I431" s="43" t="n"/>
      <c r="J431" s="44" t="n"/>
      <c r="K431" s="1" t="inlineStr">
        <is>
          <t>Авито Саратов</t>
        </is>
      </c>
      <c r="L431" s="1" t="inlineStr">
        <is>
          <t>Саратов</t>
        </is>
      </c>
      <c r="M431" s="45" t="inlineStr">
        <is>
          <t>https://www.avito.ru/saratov/predlozheniya_uslug?q=%D0%A1%D0%B1%D0%BE%D1%80%D0%BA%D0%B0%20%D0%B8%20%D1%83%D1%81%D1%82%D0%B0%D0%BD%D0%BE%D0%B2%D0%BA%D0%B0%20%D0%BA%D1%83%D1%85%D0%BD%D0%B8%2C%20%D0%BF%D0%BE%D0%B4%D0%BA%D0%BB%D1%8E%D1%87%D0%B5%D0%BD%D0%B8%D0%B5%20%D1%82%D0%B5%D1%85%D0%BD%D0%B8%D0%BA%D0%B8%20%D0%A1%D0%B0%D1%80%D0%B0%D1%82%D0%BE%D0%B2</t>
        </is>
      </c>
      <c r="N431" s="1" t="inlineStr">
        <is>
          <t>не проверено</t>
        </is>
      </c>
      <c r="O431" s="1" t="inlineStr">
        <is>
          <t>2026-09-11</t>
        </is>
      </c>
      <c r="P431" s="47" t="inlineStr">
        <is>
          <t>уточнить</t>
        </is>
      </c>
      <c r="Q431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32">
      <c r="A432" s="1" t="inlineStr">
        <is>
          <t>2_Заезд</t>
        </is>
      </c>
      <c r="B432" s="1" t="n">
        <v>47</v>
      </c>
      <c r="C432" s="1" t="inlineStr">
        <is>
          <t>Работы</t>
        </is>
      </c>
      <c r="D432" s="1" t="inlineStr">
        <is>
          <t>Сборка мебели (кровати, шкафы, детская, зал)</t>
        </is>
      </c>
      <c r="E432" s="1" t="inlineStr">
        <is>
          <t>компл</t>
        </is>
      </c>
      <c r="F432" s="1" t="inlineStr">
        <is>
          <t>МИН</t>
        </is>
      </c>
      <c r="G432" s="1" t="inlineStr">
        <is>
          <t>сборщики магазина Hoff (минимальный тариф)</t>
        </is>
      </c>
      <c r="H432" s="43" t="n">
        <v>5394</v>
      </c>
      <c r="I432" s="43" t="n">
        <v>5000</v>
      </c>
      <c r="J432" s="44" t="n">
        <v>7.9</v>
      </c>
      <c r="K432" s="1" t="inlineStr">
        <is>
          <t>Hoff</t>
        </is>
      </c>
      <c r="L432" s="1" t="inlineStr">
        <is>
          <t>Саратов</t>
        </is>
      </c>
      <c r="M432" s="45" t="inlineStr">
        <is>
          <t>https://hoff.ru/services/sborka_mebeli_i_ustanovka_tehniki/</t>
        </is>
      </c>
      <c r="N432" s="1" t="inlineStr">
        <is>
          <t>сниппет</t>
        </is>
      </c>
      <c r="O432" s="1" t="inlineStr">
        <is>
          <t>2026-09-11</t>
        </is>
      </c>
      <c r="P432" s="47" t="inlineStr">
        <is>
          <t>уточнить</t>
        </is>
      </c>
      <c r="Q432" s="1" t="inlineStr">
        <is>
          <t>«8 % от стоимости мебели, но не менее 899 ₽» — 6 единиц × 899 = 5 394 ₽ только если 8 % ниже; крупная мебель мин. 2 499/5 049 ₽. Сайт закрыт 401</t>
        </is>
      </c>
    </row>
    <row r="433">
      <c r="A433" s="1" t="inlineStr">
        <is>
          <t>2_Заезд</t>
        </is>
      </c>
      <c r="B433" s="1" t="n">
        <v>47</v>
      </c>
      <c r="C433" s="1" t="inlineStr">
        <is>
          <t>Работы</t>
        </is>
      </c>
      <c r="D433" s="1" t="inlineStr">
        <is>
          <t>Сборка мебели (кровати, шкафы, детская, зал)</t>
        </is>
      </c>
      <c r="E433" s="1" t="inlineStr">
        <is>
          <t>компл</t>
        </is>
      </c>
      <c r="F433" s="1" t="inlineStr">
        <is>
          <t>СРЕД</t>
        </is>
      </c>
      <c r="G433" s="1" t="inlineStr">
        <is>
          <t>мастер Profi.ru Саратов (средняя за единицу)</t>
        </is>
      </c>
      <c r="H433" s="43" t="n">
        <v>15000</v>
      </c>
      <c r="I433" s="43" t="n">
        <v>15000</v>
      </c>
      <c r="J433" s="44" t="n">
        <v>0</v>
      </c>
      <c r="K433" s="1" t="inlineStr">
        <is>
          <t>Profi.ru Саратов</t>
        </is>
      </c>
      <c r="L433" s="1" t="inlineStr">
        <is>
          <t>Саратов</t>
        </is>
      </c>
      <c r="M433" s="45" t="inlineStr">
        <is>
          <t>https://profi.ru/geo-saratov/remont/mebel/sborka-mebeli/</t>
        </is>
      </c>
      <c r="N433" s="1" t="inlineStr">
        <is>
          <t>сниппет</t>
        </is>
      </c>
      <c r="O433" s="1" t="inlineStr">
        <is>
          <t>2026-09-11</t>
        </is>
      </c>
      <c r="P433" s="46" t="inlineStr">
        <is>
          <t>ок</t>
        </is>
      </c>
      <c r="Q433" s="1" t="inlineStr">
        <is>
          <t>«от 1 200, в среднем 2 500, максимум 10 000 ₽» за единицу × 6 единиц = 15 000 ₽ — совпадает со сметой</t>
        </is>
      </c>
    </row>
    <row r="434">
      <c r="A434" s="1" t="inlineStr">
        <is>
          <t>2_Заезд</t>
        </is>
      </c>
      <c r="B434" s="1" t="n">
        <v>47</v>
      </c>
      <c r="C434" s="1" t="inlineStr">
        <is>
          <t>Работы</t>
        </is>
      </c>
      <c r="D434" s="1" t="inlineStr">
        <is>
          <t>Сборка мебели (кровати, шкафы, детская, зал)</t>
        </is>
      </c>
      <c r="E434" s="1" t="inlineStr">
        <is>
          <t>компл</t>
        </is>
      </c>
      <c r="F434" s="1" t="inlineStr">
        <is>
          <t>МАКС</t>
        </is>
      </c>
      <c r="G434" s="1" t="inlineStr">
        <is>
          <t>служба Гормастер (по видам мебели)</t>
        </is>
      </c>
      <c r="H434" s="43" t="n">
        <v>9100</v>
      </c>
      <c r="I434" s="43" t="n">
        <v>30000</v>
      </c>
      <c r="J434" s="48" t="n">
        <v>-69.7</v>
      </c>
      <c r="K434" s="1" t="inlineStr">
        <is>
          <t>Гормастер Саратов</t>
        </is>
      </c>
      <c r="L434" s="1" t="inlineStr">
        <is>
          <t>Саратов</t>
        </is>
      </c>
      <c r="M434" s="45" t="inlineStr">
        <is>
          <t>https://saratov.gor-master.ru/sborka-mebeli</t>
        </is>
      </c>
      <c r="N434" s="1" t="inlineStr">
        <is>
          <t>страница</t>
        </is>
      </c>
      <c r="O434" s="1" t="inlineStr">
        <is>
          <t>2026-09-11</t>
        </is>
      </c>
      <c r="P434" s="46" t="inlineStr">
        <is>
          <t>ок</t>
        </is>
      </c>
      <c r="Q434" s="1" t="inlineStr">
        <is>
          <t>Спальный гарнитур от 2 000 + шкафы от 800 × 2 + детская от 2 500 + стенка/гостиная от 3 000 = 9 100 ₽</t>
        </is>
      </c>
    </row>
    <row r="435">
      <c r="A435" s="1" t="inlineStr">
        <is>
          <t>2_Заезд</t>
        </is>
      </c>
      <c r="B435" s="1" t="n">
        <v>47</v>
      </c>
      <c r="C435" s="1" t="inlineStr">
        <is>
          <t>Работы</t>
        </is>
      </c>
      <c r="D435" s="1" t="inlineStr">
        <is>
          <t>Сборка мебели (кровати, шкафы, детская, зал)</t>
        </is>
      </c>
      <c r="E435" s="1" t="inlineStr">
        <is>
          <t>компл</t>
        </is>
      </c>
      <c r="F435" s="1" t="inlineStr">
        <is>
          <t>ВСЕ</t>
        </is>
      </c>
      <c r="G435" s="1" t="inlineStr">
        <is>
          <t>Авито Саратов — поиск «Сборка мебели» (услуги мастеров)</t>
        </is>
      </c>
      <c r="H435" s="43" t="n"/>
      <c r="I435" s="43" t="n"/>
      <c r="J435" s="44" t="n"/>
      <c r="K435" s="1" t="inlineStr">
        <is>
          <t>Авито Саратов</t>
        </is>
      </c>
      <c r="L435" s="1" t="inlineStr">
        <is>
          <t>Саратов</t>
        </is>
      </c>
      <c r="M435" s="45" t="inlineStr">
        <is>
          <t>https://www.avito.ru/saratov/predlozheniya_uslug?q=%D0%A1%D0%B1%D0%BE%D1%80%D0%BA%D0%B0%20%D0%BC%D0%B5%D0%B1%D0%B5%D0%BB%D0%B8%20%D0%A1%D0%B0%D1%80%D0%B0%D1%82%D0%BE%D0%B2</t>
        </is>
      </c>
      <c r="N435" s="1" t="inlineStr">
        <is>
          <t>не проверено</t>
        </is>
      </c>
      <c r="O435" s="1" t="inlineStr">
        <is>
          <t>2026-09-11</t>
        </is>
      </c>
      <c r="P435" s="47" t="inlineStr">
        <is>
          <t>уточнить</t>
        </is>
      </c>
      <c r="Q435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36">
      <c r="A436" s="1" t="inlineStr">
        <is>
          <t>2_Заезд</t>
        </is>
      </c>
      <c r="B436" s="1" t="n">
        <v>48</v>
      </c>
      <c r="C436" s="1" t="inlineStr">
        <is>
          <t>Работы</t>
        </is>
      </c>
      <c r="D436" s="1" t="inlineStr">
        <is>
          <t>Навес карнизов, кронштейна ТВ, зеркал, полок</t>
        </is>
      </c>
      <c r="E436" s="1" t="inlineStr">
        <is>
          <t>компл</t>
        </is>
      </c>
      <c r="F436" s="1" t="inlineStr">
        <is>
          <t>МИН</t>
        </is>
      </c>
      <c r="G436" s="1" t="inlineStr">
        <is>
          <t>служба Гормастер «муж на час»</t>
        </is>
      </c>
      <c r="H436" s="43" t="n">
        <v>5800</v>
      </c>
      <c r="I436" s="43" t="n">
        <v>3000</v>
      </c>
      <c r="J436" s="48" t="n">
        <v>93.3</v>
      </c>
      <c r="K436" s="1" t="inlineStr">
        <is>
          <t>Гормастер Саратов</t>
        </is>
      </c>
      <c r="L436" s="1" t="inlineStr">
        <is>
          <t>Саратов</t>
        </is>
      </c>
      <c r="M436" s="45" t="inlineStr">
        <is>
          <t>https://saratov.gor-master.ru/muzh-na-chas</t>
        </is>
      </c>
      <c r="N436" s="1" t="inlineStr">
        <is>
          <t>страница</t>
        </is>
      </c>
      <c r="O436" s="1" t="inlineStr">
        <is>
          <t>2026-09-11</t>
        </is>
      </c>
      <c r="P436" s="46" t="inlineStr">
        <is>
          <t>ок</t>
        </is>
      </c>
      <c r="Q436" s="1" t="inlineStr">
        <is>
          <t>Карниз от 700 × 4 + кронштейн ТВ от 800 + зеркало от 500 × 2 + полка от 300 × 4 = 5 800 ₽</t>
        </is>
      </c>
    </row>
    <row r="437">
      <c r="A437" s="1" t="inlineStr">
        <is>
          <t>2_Заезд</t>
        </is>
      </c>
      <c r="B437" s="1" t="n">
        <v>48</v>
      </c>
      <c r="C437" s="1" t="inlineStr">
        <is>
          <t>Работы</t>
        </is>
      </c>
      <c r="D437" s="1" t="inlineStr">
        <is>
          <t>Навес карнизов, кронштейна ТВ, зеркал, полок</t>
        </is>
      </c>
      <c r="E437" s="1" t="inlineStr">
        <is>
          <t>компл</t>
        </is>
      </c>
      <c r="F437" s="1" t="inlineStr">
        <is>
          <t>СРЕД</t>
        </is>
      </c>
      <c r="G437" s="1" t="inlineStr">
        <is>
          <t>сервис «Мастера бытовых услуг» (договор, гарантия до 1 г.)</t>
        </is>
      </c>
      <c r="H437" s="43" t="n"/>
      <c r="I437" s="43" t="n">
        <v>8000</v>
      </c>
      <c r="J437" s="44" t="n"/>
      <c r="K437" s="1" t="inlineStr">
        <is>
          <t>masterabyta.ru Саратов</t>
        </is>
      </c>
      <c r="L437" s="1" t="inlineStr">
        <is>
          <t>Саратов</t>
        </is>
      </c>
      <c r="M437" s="45" t="inlineStr">
        <is>
          <t>https://saratov.masterabyta.ru/melkij-remont-v-kvartire/ustanovka-televizora-na-stenu/</t>
        </is>
      </c>
      <c r="N437" s="1" t="inlineStr">
        <is>
          <t>страница</t>
        </is>
      </c>
      <c r="O437" s="1" t="inlineStr">
        <is>
          <t>2026-09-11</t>
        </is>
      </c>
      <c r="P437" s="47" t="inlineStr">
        <is>
          <t>уточнить</t>
        </is>
      </c>
      <c r="Q437" s="1" t="inlineStr">
        <is>
          <t>Тарифицирован только кронштейн/ТВ на стену 950 ₽; карниз и зеркала — в услуге «мелкий ремонт» без цены; мин. заказ 1 290 ₽</t>
        </is>
      </c>
    </row>
    <row r="438">
      <c r="A438" s="1" t="inlineStr">
        <is>
          <t>2_Заезд</t>
        </is>
      </c>
      <c r="B438" s="1" t="n">
        <v>48</v>
      </c>
      <c r="C438" s="1" t="inlineStr">
        <is>
          <t>Работы</t>
        </is>
      </c>
      <c r="D438" s="1" t="inlineStr">
        <is>
          <t>Навес карнизов, кронштейна ТВ, зеркал, полок</t>
        </is>
      </c>
      <c r="E438" s="1" t="inlineStr">
        <is>
          <t>компл</t>
        </is>
      </c>
      <c r="F438" s="1" t="inlineStr">
        <is>
          <t>МАКС</t>
        </is>
      </c>
      <c r="G438" s="1" t="inlineStr">
        <is>
          <t>«Муж на час Саратов» (фирма, выезд в день обращения)</t>
        </is>
      </c>
      <c r="H438" s="43" t="n"/>
      <c r="I438" s="43" t="n">
        <v>15000</v>
      </c>
      <c r="J438" s="44" t="n"/>
      <c r="K438" s="1" t="inlineStr">
        <is>
          <t>muzhnachas-saratov.ru</t>
        </is>
      </c>
      <c r="L438" s="1" t="inlineStr">
        <is>
          <t>Саратов</t>
        </is>
      </c>
      <c r="M438" s="45" t="inlineStr">
        <is>
          <t>https://muzhnachas-saratov.ru/</t>
        </is>
      </c>
      <c r="N438" s="1" t="inlineStr">
        <is>
          <t>страница</t>
        </is>
      </c>
      <c r="O438" s="1" t="inlineStr">
        <is>
          <t>2026-09-11</t>
        </is>
      </c>
      <c r="P438" s="47" t="inlineStr">
        <is>
          <t>уточнить</t>
        </is>
      </c>
      <c r="Q438" s="1" t="inlineStr">
        <is>
          <t>Прайс на сайте не опубликован (только каталог услуг и телефон); в поиске — «от 400 ₽/час»</t>
        </is>
      </c>
    </row>
    <row r="439">
      <c r="A439" s="1" t="inlineStr">
        <is>
          <t>2_Заезд</t>
        </is>
      </c>
      <c r="B439" s="1" t="n">
        <v>48</v>
      </c>
      <c r="C439" s="1" t="inlineStr">
        <is>
          <t>Работы</t>
        </is>
      </c>
      <c r="D439" s="1" t="inlineStr">
        <is>
          <t>Навес карнизов, кронштейна ТВ, зеркал, полок</t>
        </is>
      </c>
      <c r="E439" s="1" t="inlineStr">
        <is>
          <t>компл</t>
        </is>
      </c>
      <c r="F439" s="1" t="inlineStr">
        <is>
          <t>ВСЕ</t>
        </is>
      </c>
      <c r="G439" s="1" t="inlineStr">
        <is>
          <t>Авито Саратов — поиск «Навес карнизов, кронштейна ТВ, зеркал, полок» (услуги мастеров)</t>
        </is>
      </c>
      <c r="H439" s="43" t="n"/>
      <c r="I439" s="43" t="n"/>
      <c r="J439" s="44" t="n"/>
      <c r="K439" s="1" t="inlineStr">
        <is>
          <t>Авито Саратов</t>
        </is>
      </c>
      <c r="L439" s="1" t="inlineStr">
        <is>
          <t>Саратов</t>
        </is>
      </c>
      <c r="M439" s="45" t="inlineStr">
        <is>
          <t>https://www.avito.ru/saratov/predlozheniya_uslug?q=%D0%9D%D0%B0%D0%B2%D0%B5%D1%81%20%D0%BA%D0%B0%D1%80%D0%BD%D0%B8%D0%B7%D0%BE%D0%B2%2C%20%D0%BA%D1%80%D0%BE%D0%BD%D1%88%D1%82%D0%B5%D0%B9%D0%BD%D0%B0%20%D0%A2%D0%92%2C%20%D0%B7%D0%B5%D1%80%D0%BA%D0%B0%D0%BB%2C%20%D0%BF%D0%BE%D0%BB%D0%BE%D0%BA%20%D0%A1%D0%B0%D1%80%D0%B0%D1%82%D0%BE%D0%B2</t>
        </is>
      </c>
      <c r="N439" s="1" t="inlineStr">
        <is>
          <t>не проверено</t>
        </is>
      </c>
      <c r="O439" s="1" t="inlineStr">
        <is>
          <t>2026-09-11</t>
        </is>
      </c>
      <c r="P439" s="47" t="inlineStr">
        <is>
          <t>уточнить</t>
        </is>
      </c>
      <c r="Q439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40">
      <c r="A440" s="1" t="inlineStr">
        <is>
          <t>2_Заезд</t>
        </is>
      </c>
      <c r="B440" s="1" t="n">
        <v>49</v>
      </c>
      <c r="C440" s="1" t="inlineStr">
        <is>
          <t>Работы</t>
        </is>
      </c>
      <c r="D440" s="1" t="inlineStr">
        <is>
          <t>Подключение стиральной машины</t>
        </is>
      </c>
      <c r="E440" s="1" t="inlineStr">
        <is>
          <t>шт</t>
        </is>
      </c>
      <c r="F440" s="1" t="inlineStr">
        <is>
          <t>МИН</t>
        </is>
      </c>
      <c r="G440" s="1" t="inlineStr">
        <is>
          <t>сервис мастеров d-mastera</t>
        </is>
      </c>
      <c r="H440" s="43" t="n">
        <v>900</v>
      </c>
      <c r="I440" s="43" t="n">
        <v>1500</v>
      </c>
      <c r="J440" s="48" t="n">
        <v>-40</v>
      </c>
      <c r="K440" s="1" t="inlineStr">
        <is>
          <t>d-mastera Саратов</t>
        </is>
      </c>
      <c r="L440" s="1" t="inlineStr">
        <is>
          <t>Саратов</t>
        </is>
      </c>
      <c r="M440" s="45" t="inlineStr">
        <is>
          <t>https://saratov.d-mastera.ru/tseny-na-uslugi-santehnika/</t>
        </is>
      </c>
      <c r="N440" s="1" t="inlineStr">
        <is>
          <t>прайс-лист</t>
        </is>
      </c>
      <c r="O440" s="1" t="inlineStr">
        <is>
          <t>2026-09-11</t>
        </is>
      </c>
      <c r="P440" s="46" t="inlineStr">
        <is>
          <t>ок</t>
        </is>
      </c>
      <c r="Q440" s="1" t="inlineStr">
        <is>
          <t>«Подключение стиральной машины (на готовые коммуникации)» 900 ₽; Гормастер муж на час от 800 ₽</t>
        </is>
      </c>
    </row>
    <row r="441">
      <c r="A441" s="1" t="inlineStr">
        <is>
          <t>2_Заезд</t>
        </is>
      </c>
      <c r="B441" s="1" t="n">
        <v>49</v>
      </c>
      <c r="C441" s="1" t="inlineStr">
        <is>
          <t>Работы</t>
        </is>
      </c>
      <c r="D441" s="1" t="inlineStr">
        <is>
          <t>Подключение стиральной машины</t>
        </is>
      </c>
      <c r="E441" s="1" t="inlineStr">
        <is>
          <t>шт</t>
        </is>
      </c>
      <c r="F441" s="1" t="inlineStr">
        <is>
          <t>СРЕД</t>
        </is>
      </c>
      <c r="G441" s="1" t="inlineStr">
        <is>
          <t>мастер Profi.ru Саратов</t>
        </is>
      </c>
      <c r="H441" s="43" t="n">
        <v>1500</v>
      </c>
      <c r="I441" s="43" t="n">
        <v>2500</v>
      </c>
      <c r="J441" s="48" t="n">
        <v>-40</v>
      </c>
      <c r="K441" s="1" t="inlineStr">
        <is>
          <t>Profi.ru Саратов</t>
        </is>
      </c>
      <c r="L441" s="1" t="inlineStr">
        <is>
          <t>Саратов</t>
        </is>
      </c>
      <c r="M441" s="45" t="inlineStr">
        <is>
          <t>https://saratov.profi.ru/remont/byttehnika/podklyuchenie-bytovoi-tehniki/podklyuchenie-stiralnyh-mashin/price/</t>
        </is>
      </c>
      <c r="N441" s="1" t="inlineStr">
        <is>
          <t>сниппет</t>
        </is>
      </c>
      <c r="O441" s="1" t="inlineStr">
        <is>
          <t>2026-09-11</t>
        </is>
      </c>
      <c r="P441" s="46" t="inlineStr">
        <is>
          <t>ок</t>
        </is>
      </c>
      <c r="Q441" s="1" t="inlineStr">
        <is>
          <t>«от 1 000, в среднем 1 500, максимум 4 500 ₽»</t>
        </is>
      </c>
    </row>
    <row r="442">
      <c r="A442" s="1" t="inlineStr">
        <is>
          <t>2_Заезд</t>
        </is>
      </c>
      <c r="B442" s="1" t="n">
        <v>49</v>
      </c>
      <c r="C442" s="1" t="inlineStr">
        <is>
          <t>Работы</t>
        </is>
      </c>
      <c r="D442" s="1" t="inlineStr">
        <is>
          <t>Подключение стиральной машины</t>
        </is>
      </c>
      <c r="E442" s="1" t="inlineStr">
        <is>
          <t>шт</t>
        </is>
      </c>
      <c r="F442" s="1" t="inlineStr">
        <is>
          <t>МАКС</t>
        </is>
      </c>
      <c r="G442" s="1" t="inlineStr">
        <is>
          <t>бригада с договором (Гарант.Строй Комплекс)</t>
        </is>
      </c>
      <c r="H442" s="43" t="n">
        <v>1168</v>
      </c>
      <c r="I442" s="43" t="n">
        <v>4000</v>
      </c>
      <c r="J442" s="48" t="n">
        <v>-70.8</v>
      </c>
      <c r="K442" s="1" t="inlineStr">
        <is>
          <t>Гарант.Строй Комплекс</t>
        </is>
      </c>
      <c r="L442" s="1" t="inlineStr">
        <is>
          <t>Саратов</t>
        </is>
      </c>
      <c r="M442" s="45" t="inlineStr">
        <is>
          <t>https://saratov.garantstroikompleks.ru/prajs-list</t>
        </is>
      </c>
      <c r="N442" s="1" t="inlineStr">
        <is>
          <t>прайс-лист</t>
        </is>
      </c>
      <c r="O442" s="1" t="inlineStr">
        <is>
          <t>2026-09-11</t>
        </is>
      </c>
      <c r="P442" s="46" t="inlineStr">
        <is>
          <t>ок</t>
        </is>
      </c>
      <c r="Q442" s="1" t="inlineStr">
        <is>
          <t>«Установка посудомоечной, стиральной машины» 1 168 ₽ — смета МАКС 4 000 в 3,4 раза выше</t>
        </is>
      </c>
    </row>
    <row r="443">
      <c r="A443" s="1" t="inlineStr">
        <is>
          <t>2_Заезд</t>
        </is>
      </c>
      <c r="B443" s="1" t="n">
        <v>49</v>
      </c>
      <c r="C443" s="1" t="inlineStr">
        <is>
          <t>Работы</t>
        </is>
      </c>
      <c r="D443" s="1" t="inlineStr">
        <is>
          <t>Подключение стиральной машины</t>
        </is>
      </c>
      <c r="E443" s="1" t="inlineStr">
        <is>
          <t>шт</t>
        </is>
      </c>
      <c r="F443" s="1" t="inlineStr">
        <is>
          <t>ВСЕ</t>
        </is>
      </c>
      <c r="G443" s="1" t="inlineStr">
        <is>
          <t>Авито Саратов — поиск «Подключение стиральной машины» (услуги мастеров)</t>
        </is>
      </c>
      <c r="H443" s="43" t="n"/>
      <c r="I443" s="43" t="n"/>
      <c r="J443" s="44" t="n"/>
      <c r="K443" s="1" t="inlineStr">
        <is>
          <t>Авито Саратов</t>
        </is>
      </c>
      <c r="L443" s="1" t="inlineStr">
        <is>
          <t>Саратов</t>
        </is>
      </c>
      <c r="M443" s="45" t="inlineStr">
        <is>
          <t>https://www.avito.ru/saratov/predlozheniya_uslug?q=%D0%9F%D0%BE%D0%B4%D0%BA%D0%BB%D1%8E%D1%87%D0%B5%D0%BD%D0%B8%D0%B5%20%D1%81%D1%82%D0%B8%D1%80%D0%B0%D0%BB%D1%8C%D0%BD%D0%BE%D0%B9%20%D0%BC%D0%B0%D1%88%D0%B8%D0%BD%D1%8B%20%D0%A1%D0%B0%D1%80%D0%B0%D1%82%D0%BE%D0%B2</t>
        </is>
      </c>
      <c r="N443" s="1" t="inlineStr">
        <is>
          <t>не проверено</t>
        </is>
      </c>
      <c r="O443" s="1" t="inlineStr">
        <is>
          <t>2026-09-11</t>
        </is>
      </c>
      <c r="P443" s="47" t="inlineStr">
        <is>
          <t>уточнить</t>
        </is>
      </c>
      <c r="Q443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  <row r="444">
      <c r="A444" s="1" t="inlineStr">
        <is>
          <t>2_Заезд</t>
        </is>
      </c>
      <c r="B444" s="1" t="n">
        <v>50</v>
      </c>
      <c r="C444" s="1" t="inlineStr">
        <is>
          <t>Работы</t>
        </is>
      </c>
      <c r="D444" s="1" t="inlineStr">
        <is>
          <t>Доставка и подъём мебели и техники</t>
        </is>
      </c>
      <c r="E444" s="1" t="inlineStr">
        <is>
          <t>компл</t>
        </is>
      </c>
      <c r="F444" s="1" t="inlineStr">
        <is>
          <t>МИН</t>
        </is>
      </c>
      <c r="G444" s="1" t="inlineStr">
        <is>
          <t>грузчики почасово («100 грузчиков»)</t>
        </is>
      </c>
      <c r="H444" s="43" t="n">
        <v>3000</v>
      </c>
      <c r="I444" s="43" t="n">
        <v>5000</v>
      </c>
      <c r="J444" s="48" t="n">
        <v>-40</v>
      </c>
      <c r="K444" s="1" t="inlineStr">
        <is>
          <t>100 грузчиков Саратов</t>
        </is>
      </c>
      <c r="L444" s="1" t="inlineStr">
        <is>
          <t>Саратов</t>
        </is>
      </c>
      <c r="M444" s="45" t="inlineStr">
        <is>
          <t>https://saratov.100gryzchikov.ru/</t>
        </is>
      </c>
      <c r="N444" s="1" t="inlineStr">
        <is>
          <t>страница</t>
        </is>
      </c>
      <c r="O444" s="1" t="inlineStr">
        <is>
          <t>2026-09-11</t>
        </is>
      </c>
      <c r="P444" s="46" t="inlineStr">
        <is>
          <t>ок</t>
        </is>
      </c>
      <c r="Q444" s="1" t="inlineStr">
        <is>
          <t>Грузчики от 500 ₽/час × 2 чел × 3 ч = 3 000 ₽ (допущение по часам; газель с грузчиками — почасовая ставка на странице не указана)</t>
        </is>
      </c>
    </row>
    <row r="445">
      <c r="A445" s="1" t="inlineStr">
        <is>
          <t>2_Заезд</t>
        </is>
      </c>
      <c r="B445" s="1" t="n">
        <v>50</v>
      </c>
      <c r="C445" s="1" t="inlineStr">
        <is>
          <t>Работы</t>
        </is>
      </c>
      <c r="D445" s="1" t="inlineStr">
        <is>
          <t>Доставка и подъём мебели и техники</t>
        </is>
      </c>
      <c r="E445" s="1" t="inlineStr">
        <is>
          <t>компл</t>
        </is>
      </c>
      <c r="F445" s="1" t="inlineStr">
        <is>
          <t>СРЕД</t>
        </is>
      </c>
      <c r="G445" s="1" t="inlineStr">
        <is>
          <t>магазин (Hoff) — доставка и подъём</t>
        </is>
      </c>
      <c r="H445" s="43" t="n"/>
      <c r="I445" s="43" t="n">
        <v>15000</v>
      </c>
      <c r="J445" s="44" t="n"/>
      <c r="K445" s="1" t="inlineStr">
        <is>
          <t>Hoff</t>
        </is>
      </c>
      <c r="L445" s="1" t="inlineStr">
        <is>
          <t>Саратов</t>
        </is>
      </c>
      <c r="M445" s="45" t="inlineStr">
        <is>
          <t>https://hoff.ru/services/sborka_mebeli_i_ustanovka_tehniki/</t>
        </is>
      </c>
      <c r="N445" s="1" t="inlineStr">
        <is>
          <t>страница</t>
        </is>
      </c>
      <c r="O445" s="1" t="inlineStr">
        <is>
          <t>2026-09-11</t>
        </is>
      </c>
      <c r="P445" s="47" t="inlineStr">
        <is>
          <t>уточнить</t>
        </is>
      </c>
      <c r="Q445" s="1" t="inlineStr">
        <is>
          <t>hoff.ru закрыт 401, тарифы доставки/подъёма не подтверждены</t>
        </is>
      </c>
    </row>
    <row r="446">
      <c r="A446" s="1" t="inlineStr">
        <is>
          <t>2_Заезд</t>
        </is>
      </c>
      <c r="B446" s="1" t="n">
        <v>50</v>
      </c>
      <c r="C446" s="1" t="inlineStr">
        <is>
          <t>Работы</t>
        </is>
      </c>
      <c r="D446" s="1" t="inlineStr">
        <is>
          <t>Доставка и подъём мебели и техники</t>
        </is>
      </c>
      <c r="E446" s="1" t="inlineStr">
        <is>
          <t>компл</t>
        </is>
      </c>
      <c r="F446" s="1" t="inlineStr">
        <is>
          <t>МАКС</t>
        </is>
      </c>
      <c r="G446" s="1" t="inlineStr">
        <is>
          <t>перевозка мебели с грузчиками (Profi.ru Саратов)</t>
        </is>
      </c>
      <c r="H446" s="43" t="n"/>
      <c r="I446" s="43" t="n">
        <v>30000</v>
      </c>
      <c r="J446" s="44" t="n"/>
      <c r="K446" s="1" t="inlineStr">
        <is>
          <t>Profi.ru Саратов</t>
        </is>
      </c>
      <c r="L446" s="1" t="inlineStr">
        <is>
          <t>Саратов</t>
        </is>
      </c>
      <c r="M446" s="45" t="inlineStr">
        <is>
          <t>https://profi.ru/geo-saratov/raznoe/perevozka-mebeli/</t>
        </is>
      </c>
      <c r="N446" s="1" t="inlineStr">
        <is>
          <t>страница</t>
        </is>
      </c>
      <c r="O446" s="1" t="inlineStr">
        <is>
          <t>2026-09-11</t>
        </is>
      </c>
      <c r="P446" s="47" t="inlineStr">
        <is>
          <t>уточнить</t>
        </is>
      </c>
      <c r="Q446" s="1" t="inlineStr">
        <is>
          <t>На странице цены в поиске не видны; в сводке поиска «грузчик + газель ≈ 2 000 ₽ за 2 часа» без атрибуции — не засчитано</t>
        </is>
      </c>
    </row>
    <row r="447">
      <c r="A447" s="1" t="inlineStr">
        <is>
          <t>2_Заезд</t>
        </is>
      </c>
      <c r="B447" s="1" t="n">
        <v>50</v>
      </c>
      <c r="C447" s="1" t="inlineStr">
        <is>
          <t>Работы</t>
        </is>
      </c>
      <c r="D447" s="1" t="inlineStr">
        <is>
          <t>Доставка и подъём мебели и техники</t>
        </is>
      </c>
      <c r="E447" s="1" t="inlineStr">
        <is>
          <t>компл</t>
        </is>
      </c>
      <c r="F447" s="1" t="inlineStr">
        <is>
          <t>ВСЕ</t>
        </is>
      </c>
      <c r="G447" s="1" t="inlineStr">
        <is>
          <t>Авито Саратов — поиск «Доставка и подъём мебели и техники» (услуги мастеров)</t>
        </is>
      </c>
      <c r="H447" s="43" t="n"/>
      <c r="I447" s="43" t="n"/>
      <c r="J447" s="44" t="n"/>
      <c r="K447" s="1" t="inlineStr">
        <is>
          <t>Авито Саратов</t>
        </is>
      </c>
      <c r="L447" s="1" t="inlineStr">
        <is>
          <t>Саратов</t>
        </is>
      </c>
      <c r="M447" s="45" t="inlineStr">
        <is>
          <t>https://www.avito.ru/saratov/predlozheniya_uslug?q=%D0%94%D0%BE%D1%81%D1%82%D0%B0%D0%B2%D0%BA%D0%B0%20%D0%B8%20%D0%BF%D0%BE%D0%B4%D1%8A%D1%91%D0%BC%20%D0%BC%D0%B5%D0%B1%D0%B5%D0%BB%D0%B8%20%D0%B8%20%D1%82%D0%B5%D1%85%D0%BD%D0%B8%D0%BA%D0%B8%20%D0%A1%D0%B0%D1%80%D0%B0%D1%82%D0%BE%D0%B2</t>
        </is>
      </c>
      <c r="N447" s="1" t="inlineStr">
        <is>
          <t>не проверено</t>
        </is>
      </c>
      <c r="O447" s="1" t="inlineStr">
        <is>
          <t>2026-09-11</t>
        </is>
      </c>
      <c r="P447" s="47" t="inlineStr">
        <is>
          <t>уточнить</t>
        </is>
      </c>
      <c r="Q447" s="1" t="inlineStr">
        <is>
          <t>Через Авито можно посмотреть предложения по Саратову и оптимизировать стоимость: откройте поиск по ссылке, сравните с ценой в смете и с вариантами магазинов выше. Автоматически цены с Авито снять нельзя (доступ по IP ограничен) — смотреть вручную.</t>
        </is>
      </c>
    </row>
  </sheetData>
  <autoFilter ref="A5:Q447"/>
  <mergeCells count="1">
    <mergeCell ref="A2:Q2"/>
  </mergeCells>
  <hyperlinks>
    <hyperlink xmlns:r="http://schemas.openxmlformats.org/officeDocument/2006/relationships" ref="M6" r:id="rId1"/>
    <hyperlink xmlns:r="http://schemas.openxmlformats.org/officeDocument/2006/relationships" ref="M7" r:id="rId2"/>
    <hyperlink xmlns:r="http://schemas.openxmlformats.org/officeDocument/2006/relationships" ref="M8" r:id="rId3"/>
    <hyperlink xmlns:r="http://schemas.openxmlformats.org/officeDocument/2006/relationships" ref="M9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4" r:id="rId9"/>
    <hyperlink xmlns:r="http://schemas.openxmlformats.org/officeDocument/2006/relationships" ref="M15" r:id="rId10"/>
    <hyperlink xmlns:r="http://schemas.openxmlformats.org/officeDocument/2006/relationships" ref="M16" r:id="rId11"/>
    <hyperlink xmlns:r="http://schemas.openxmlformats.org/officeDocument/2006/relationships" ref="M17" r:id="rId12"/>
    <hyperlink xmlns:r="http://schemas.openxmlformats.org/officeDocument/2006/relationships" ref="M18" r:id="rId13"/>
    <hyperlink xmlns:r="http://schemas.openxmlformats.org/officeDocument/2006/relationships" ref="M19" r:id="rId14"/>
    <hyperlink xmlns:r="http://schemas.openxmlformats.org/officeDocument/2006/relationships" ref="M20" r:id="rId15"/>
    <hyperlink xmlns:r="http://schemas.openxmlformats.org/officeDocument/2006/relationships" ref="M21" r:id="rId16"/>
    <hyperlink xmlns:r="http://schemas.openxmlformats.org/officeDocument/2006/relationships" ref="M22" r:id="rId17"/>
    <hyperlink xmlns:r="http://schemas.openxmlformats.org/officeDocument/2006/relationships" ref="M23" r:id="rId18"/>
    <hyperlink xmlns:r="http://schemas.openxmlformats.org/officeDocument/2006/relationships" ref="M24" r:id="rId19"/>
    <hyperlink xmlns:r="http://schemas.openxmlformats.org/officeDocument/2006/relationships" ref="M25" r:id="rId20"/>
    <hyperlink xmlns:r="http://schemas.openxmlformats.org/officeDocument/2006/relationships" ref="M26" r:id="rId21"/>
    <hyperlink xmlns:r="http://schemas.openxmlformats.org/officeDocument/2006/relationships" ref="M27" r:id="rId22"/>
    <hyperlink xmlns:r="http://schemas.openxmlformats.org/officeDocument/2006/relationships" ref="M28" r:id="rId23"/>
    <hyperlink xmlns:r="http://schemas.openxmlformats.org/officeDocument/2006/relationships" ref="M29" r:id="rId24"/>
    <hyperlink xmlns:r="http://schemas.openxmlformats.org/officeDocument/2006/relationships" ref="M30" r:id="rId25"/>
    <hyperlink xmlns:r="http://schemas.openxmlformats.org/officeDocument/2006/relationships" ref="M31" r:id="rId26"/>
    <hyperlink xmlns:r="http://schemas.openxmlformats.org/officeDocument/2006/relationships" ref="M32" r:id="rId27"/>
    <hyperlink xmlns:r="http://schemas.openxmlformats.org/officeDocument/2006/relationships" ref="M33" r:id="rId28"/>
    <hyperlink xmlns:r="http://schemas.openxmlformats.org/officeDocument/2006/relationships" ref="M34" r:id="rId29"/>
    <hyperlink xmlns:r="http://schemas.openxmlformats.org/officeDocument/2006/relationships" ref="M35" r:id="rId30"/>
    <hyperlink xmlns:r="http://schemas.openxmlformats.org/officeDocument/2006/relationships" ref="M36" r:id="rId31"/>
    <hyperlink xmlns:r="http://schemas.openxmlformats.org/officeDocument/2006/relationships" ref="M37" r:id="rId32"/>
    <hyperlink xmlns:r="http://schemas.openxmlformats.org/officeDocument/2006/relationships" ref="M38" r:id="rId33"/>
    <hyperlink xmlns:r="http://schemas.openxmlformats.org/officeDocument/2006/relationships" ref="M39" r:id="rId34"/>
    <hyperlink xmlns:r="http://schemas.openxmlformats.org/officeDocument/2006/relationships" ref="M40" r:id="rId35"/>
    <hyperlink xmlns:r="http://schemas.openxmlformats.org/officeDocument/2006/relationships" ref="M41" r:id="rId36"/>
    <hyperlink xmlns:r="http://schemas.openxmlformats.org/officeDocument/2006/relationships" ref="M42" r:id="rId37"/>
    <hyperlink xmlns:r="http://schemas.openxmlformats.org/officeDocument/2006/relationships" ref="M43" r:id="rId38"/>
    <hyperlink xmlns:r="http://schemas.openxmlformats.org/officeDocument/2006/relationships" ref="M44" r:id="rId39"/>
    <hyperlink xmlns:r="http://schemas.openxmlformats.org/officeDocument/2006/relationships" ref="M45" r:id="rId40"/>
    <hyperlink xmlns:r="http://schemas.openxmlformats.org/officeDocument/2006/relationships" ref="M46" r:id="rId41"/>
    <hyperlink xmlns:r="http://schemas.openxmlformats.org/officeDocument/2006/relationships" ref="M47" r:id="rId42"/>
    <hyperlink xmlns:r="http://schemas.openxmlformats.org/officeDocument/2006/relationships" ref="M48" r:id="rId43"/>
    <hyperlink xmlns:r="http://schemas.openxmlformats.org/officeDocument/2006/relationships" ref="M49" r:id="rId44"/>
    <hyperlink xmlns:r="http://schemas.openxmlformats.org/officeDocument/2006/relationships" ref="M50" r:id="rId45"/>
    <hyperlink xmlns:r="http://schemas.openxmlformats.org/officeDocument/2006/relationships" ref="M51" r:id="rId46"/>
    <hyperlink xmlns:r="http://schemas.openxmlformats.org/officeDocument/2006/relationships" ref="M52" r:id="rId47"/>
    <hyperlink xmlns:r="http://schemas.openxmlformats.org/officeDocument/2006/relationships" ref="M53" r:id="rId48"/>
    <hyperlink xmlns:r="http://schemas.openxmlformats.org/officeDocument/2006/relationships" ref="M54" r:id="rId49"/>
    <hyperlink xmlns:r="http://schemas.openxmlformats.org/officeDocument/2006/relationships" ref="M55" r:id="rId50"/>
    <hyperlink xmlns:r="http://schemas.openxmlformats.org/officeDocument/2006/relationships" ref="M56" r:id="rId51"/>
    <hyperlink xmlns:r="http://schemas.openxmlformats.org/officeDocument/2006/relationships" ref="M57" r:id="rId52"/>
    <hyperlink xmlns:r="http://schemas.openxmlformats.org/officeDocument/2006/relationships" ref="M58" r:id="rId53"/>
    <hyperlink xmlns:r="http://schemas.openxmlformats.org/officeDocument/2006/relationships" ref="M59" r:id="rId54"/>
    <hyperlink xmlns:r="http://schemas.openxmlformats.org/officeDocument/2006/relationships" ref="M60" r:id="rId55"/>
    <hyperlink xmlns:r="http://schemas.openxmlformats.org/officeDocument/2006/relationships" ref="M61" r:id="rId56"/>
    <hyperlink xmlns:r="http://schemas.openxmlformats.org/officeDocument/2006/relationships" ref="M62" r:id="rId57"/>
    <hyperlink xmlns:r="http://schemas.openxmlformats.org/officeDocument/2006/relationships" ref="M63" r:id="rId58"/>
    <hyperlink xmlns:r="http://schemas.openxmlformats.org/officeDocument/2006/relationships" ref="M64" r:id="rId59"/>
    <hyperlink xmlns:r="http://schemas.openxmlformats.org/officeDocument/2006/relationships" ref="M65" r:id="rId60"/>
    <hyperlink xmlns:r="http://schemas.openxmlformats.org/officeDocument/2006/relationships" ref="M66" r:id="rId61"/>
    <hyperlink xmlns:r="http://schemas.openxmlformats.org/officeDocument/2006/relationships" ref="M67" r:id="rId62"/>
    <hyperlink xmlns:r="http://schemas.openxmlformats.org/officeDocument/2006/relationships" ref="M68" r:id="rId63"/>
    <hyperlink xmlns:r="http://schemas.openxmlformats.org/officeDocument/2006/relationships" ref="M69" r:id="rId64"/>
    <hyperlink xmlns:r="http://schemas.openxmlformats.org/officeDocument/2006/relationships" ref="M70" r:id="rId65"/>
    <hyperlink xmlns:r="http://schemas.openxmlformats.org/officeDocument/2006/relationships" ref="M71" r:id="rId66"/>
    <hyperlink xmlns:r="http://schemas.openxmlformats.org/officeDocument/2006/relationships" ref="M72" r:id="rId67"/>
    <hyperlink xmlns:r="http://schemas.openxmlformats.org/officeDocument/2006/relationships" ref="M73" r:id="rId68"/>
    <hyperlink xmlns:r="http://schemas.openxmlformats.org/officeDocument/2006/relationships" ref="M74" r:id="rId69"/>
    <hyperlink xmlns:r="http://schemas.openxmlformats.org/officeDocument/2006/relationships" ref="M75" r:id="rId70"/>
    <hyperlink xmlns:r="http://schemas.openxmlformats.org/officeDocument/2006/relationships" ref="M76" r:id="rId71"/>
    <hyperlink xmlns:r="http://schemas.openxmlformats.org/officeDocument/2006/relationships" ref="M77" r:id="rId72"/>
    <hyperlink xmlns:r="http://schemas.openxmlformats.org/officeDocument/2006/relationships" ref="M78" r:id="rId73"/>
    <hyperlink xmlns:r="http://schemas.openxmlformats.org/officeDocument/2006/relationships" ref="M79" r:id="rId74"/>
    <hyperlink xmlns:r="http://schemas.openxmlformats.org/officeDocument/2006/relationships" ref="M80" r:id="rId75"/>
    <hyperlink xmlns:r="http://schemas.openxmlformats.org/officeDocument/2006/relationships" ref="M81" r:id="rId76"/>
    <hyperlink xmlns:r="http://schemas.openxmlformats.org/officeDocument/2006/relationships" ref="M82" r:id="rId77"/>
    <hyperlink xmlns:r="http://schemas.openxmlformats.org/officeDocument/2006/relationships" ref="M83" r:id="rId78"/>
    <hyperlink xmlns:r="http://schemas.openxmlformats.org/officeDocument/2006/relationships" ref="M84" r:id="rId79"/>
    <hyperlink xmlns:r="http://schemas.openxmlformats.org/officeDocument/2006/relationships" ref="M85" r:id="rId80"/>
    <hyperlink xmlns:r="http://schemas.openxmlformats.org/officeDocument/2006/relationships" ref="M86" r:id="rId81"/>
    <hyperlink xmlns:r="http://schemas.openxmlformats.org/officeDocument/2006/relationships" ref="M87" r:id="rId82"/>
    <hyperlink xmlns:r="http://schemas.openxmlformats.org/officeDocument/2006/relationships" ref="M88" r:id="rId83"/>
    <hyperlink xmlns:r="http://schemas.openxmlformats.org/officeDocument/2006/relationships" ref="M89" r:id="rId84"/>
    <hyperlink xmlns:r="http://schemas.openxmlformats.org/officeDocument/2006/relationships" ref="M90" r:id="rId85"/>
    <hyperlink xmlns:r="http://schemas.openxmlformats.org/officeDocument/2006/relationships" ref="M91" r:id="rId86"/>
    <hyperlink xmlns:r="http://schemas.openxmlformats.org/officeDocument/2006/relationships" ref="M92" r:id="rId87"/>
    <hyperlink xmlns:r="http://schemas.openxmlformats.org/officeDocument/2006/relationships" ref="M93" r:id="rId88"/>
    <hyperlink xmlns:r="http://schemas.openxmlformats.org/officeDocument/2006/relationships" ref="M94" r:id="rId89"/>
    <hyperlink xmlns:r="http://schemas.openxmlformats.org/officeDocument/2006/relationships" ref="M95" r:id="rId90"/>
    <hyperlink xmlns:r="http://schemas.openxmlformats.org/officeDocument/2006/relationships" ref="M96" r:id="rId91"/>
    <hyperlink xmlns:r="http://schemas.openxmlformats.org/officeDocument/2006/relationships" ref="M97" r:id="rId92"/>
    <hyperlink xmlns:r="http://schemas.openxmlformats.org/officeDocument/2006/relationships" ref="M98" r:id="rId93"/>
    <hyperlink xmlns:r="http://schemas.openxmlformats.org/officeDocument/2006/relationships" ref="M99" r:id="rId94"/>
    <hyperlink xmlns:r="http://schemas.openxmlformats.org/officeDocument/2006/relationships" ref="M100" r:id="rId95"/>
    <hyperlink xmlns:r="http://schemas.openxmlformats.org/officeDocument/2006/relationships" ref="M101" r:id="rId96"/>
    <hyperlink xmlns:r="http://schemas.openxmlformats.org/officeDocument/2006/relationships" ref="M102" r:id="rId97"/>
    <hyperlink xmlns:r="http://schemas.openxmlformats.org/officeDocument/2006/relationships" ref="M103" r:id="rId98"/>
    <hyperlink xmlns:r="http://schemas.openxmlformats.org/officeDocument/2006/relationships" ref="M104" r:id="rId99"/>
    <hyperlink xmlns:r="http://schemas.openxmlformats.org/officeDocument/2006/relationships" ref="M105" r:id="rId100"/>
    <hyperlink xmlns:r="http://schemas.openxmlformats.org/officeDocument/2006/relationships" ref="M106" r:id="rId101"/>
    <hyperlink xmlns:r="http://schemas.openxmlformats.org/officeDocument/2006/relationships" ref="M107" r:id="rId102"/>
    <hyperlink xmlns:r="http://schemas.openxmlformats.org/officeDocument/2006/relationships" ref="M108" r:id="rId103"/>
    <hyperlink xmlns:r="http://schemas.openxmlformats.org/officeDocument/2006/relationships" ref="M109" r:id="rId104"/>
    <hyperlink xmlns:r="http://schemas.openxmlformats.org/officeDocument/2006/relationships" ref="M110" r:id="rId105"/>
    <hyperlink xmlns:r="http://schemas.openxmlformats.org/officeDocument/2006/relationships" ref="M111" r:id="rId106"/>
    <hyperlink xmlns:r="http://schemas.openxmlformats.org/officeDocument/2006/relationships" ref="M112" r:id="rId107"/>
    <hyperlink xmlns:r="http://schemas.openxmlformats.org/officeDocument/2006/relationships" ref="M113" r:id="rId108"/>
    <hyperlink xmlns:r="http://schemas.openxmlformats.org/officeDocument/2006/relationships" ref="M114" r:id="rId109"/>
    <hyperlink xmlns:r="http://schemas.openxmlformats.org/officeDocument/2006/relationships" ref="M115" r:id="rId110"/>
    <hyperlink xmlns:r="http://schemas.openxmlformats.org/officeDocument/2006/relationships" ref="M116" r:id="rId111"/>
    <hyperlink xmlns:r="http://schemas.openxmlformats.org/officeDocument/2006/relationships" ref="M117" r:id="rId112"/>
    <hyperlink xmlns:r="http://schemas.openxmlformats.org/officeDocument/2006/relationships" ref="M118" r:id="rId113"/>
    <hyperlink xmlns:r="http://schemas.openxmlformats.org/officeDocument/2006/relationships" ref="M119" r:id="rId114"/>
    <hyperlink xmlns:r="http://schemas.openxmlformats.org/officeDocument/2006/relationships" ref="M120" r:id="rId115"/>
    <hyperlink xmlns:r="http://schemas.openxmlformats.org/officeDocument/2006/relationships" ref="M121" r:id="rId116"/>
    <hyperlink xmlns:r="http://schemas.openxmlformats.org/officeDocument/2006/relationships" ref="M122" r:id="rId117"/>
    <hyperlink xmlns:r="http://schemas.openxmlformats.org/officeDocument/2006/relationships" ref="M123" r:id="rId118"/>
    <hyperlink xmlns:r="http://schemas.openxmlformats.org/officeDocument/2006/relationships" ref="M124" r:id="rId119"/>
    <hyperlink xmlns:r="http://schemas.openxmlformats.org/officeDocument/2006/relationships" ref="M125" r:id="rId120"/>
    <hyperlink xmlns:r="http://schemas.openxmlformats.org/officeDocument/2006/relationships" ref="M126" r:id="rId121"/>
    <hyperlink xmlns:r="http://schemas.openxmlformats.org/officeDocument/2006/relationships" ref="M127" r:id="rId122"/>
    <hyperlink xmlns:r="http://schemas.openxmlformats.org/officeDocument/2006/relationships" ref="M128" r:id="rId123"/>
    <hyperlink xmlns:r="http://schemas.openxmlformats.org/officeDocument/2006/relationships" ref="M129" r:id="rId124"/>
    <hyperlink xmlns:r="http://schemas.openxmlformats.org/officeDocument/2006/relationships" ref="M130" r:id="rId125"/>
    <hyperlink xmlns:r="http://schemas.openxmlformats.org/officeDocument/2006/relationships" ref="M131" r:id="rId126"/>
    <hyperlink xmlns:r="http://schemas.openxmlformats.org/officeDocument/2006/relationships" ref="M132" r:id="rId127"/>
    <hyperlink xmlns:r="http://schemas.openxmlformats.org/officeDocument/2006/relationships" ref="M133" r:id="rId128"/>
    <hyperlink xmlns:r="http://schemas.openxmlformats.org/officeDocument/2006/relationships" ref="M134" r:id="rId129"/>
    <hyperlink xmlns:r="http://schemas.openxmlformats.org/officeDocument/2006/relationships" ref="M135" r:id="rId130"/>
    <hyperlink xmlns:r="http://schemas.openxmlformats.org/officeDocument/2006/relationships" ref="M136" r:id="rId131"/>
    <hyperlink xmlns:r="http://schemas.openxmlformats.org/officeDocument/2006/relationships" ref="M137" r:id="rId132"/>
    <hyperlink xmlns:r="http://schemas.openxmlformats.org/officeDocument/2006/relationships" ref="M138" r:id="rId133"/>
    <hyperlink xmlns:r="http://schemas.openxmlformats.org/officeDocument/2006/relationships" ref="M139" r:id="rId134"/>
    <hyperlink xmlns:r="http://schemas.openxmlformats.org/officeDocument/2006/relationships" ref="M141" r:id="rId135"/>
    <hyperlink xmlns:r="http://schemas.openxmlformats.org/officeDocument/2006/relationships" ref="M142" r:id="rId136"/>
    <hyperlink xmlns:r="http://schemas.openxmlformats.org/officeDocument/2006/relationships" ref="M143" r:id="rId137"/>
    <hyperlink xmlns:r="http://schemas.openxmlformats.org/officeDocument/2006/relationships" ref="M144" r:id="rId138"/>
    <hyperlink xmlns:r="http://schemas.openxmlformats.org/officeDocument/2006/relationships" ref="M145" r:id="rId139"/>
    <hyperlink xmlns:r="http://schemas.openxmlformats.org/officeDocument/2006/relationships" ref="M146" r:id="rId140"/>
    <hyperlink xmlns:r="http://schemas.openxmlformats.org/officeDocument/2006/relationships" ref="M147" r:id="rId141"/>
    <hyperlink xmlns:r="http://schemas.openxmlformats.org/officeDocument/2006/relationships" ref="M148" r:id="rId142"/>
    <hyperlink xmlns:r="http://schemas.openxmlformats.org/officeDocument/2006/relationships" ref="M149" r:id="rId143"/>
    <hyperlink xmlns:r="http://schemas.openxmlformats.org/officeDocument/2006/relationships" ref="M150" r:id="rId144"/>
    <hyperlink xmlns:r="http://schemas.openxmlformats.org/officeDocument/2006/relationships" ref="M151" r:id="rId145"/>
    <hyperlink xmlns:r="http://schemas.openxmlformats.org/officeDocument/2006/relationships" ref="M152" r:id="rId146"/>
    <hyperlink xmlns:r="http://schemas.openxmlformats.org/officeDocument/2006/relationships" ref="M153" r:id="rId147"/>
    <hyperlink xmlns:r="http://schemas.openxmlformats.org/officeDocument/2006/relationships" ref="M154" r:id="rId148"/>
    <hyperlink xmlns:r="http://schemas.openxmlformats.org/officeDocument/2006/relationships" ref="M155" r:id="rId149"/>
    <hyperlink xmlns:r="http://schemas.openxmlformats.org/officeDocument/2006/relationships" ref="M156" r:id="rId150"/>
    <hyperlink xmlns:r="http://schemas.openxmlformats.org/officeDocument/2006/relationships" ref="M157" r:id="rId151"/>
    <hyperlink xmlns:r="http://schemas.openxmlformats.org/officeDocument/2006/relationships" ref="M158" r:id="rId152"/>
    <hyperlink xmlns:r="http://schemas.openxmlformats.org/officeDocument/2006/relationships" ref="M159" r:id="rId153"/>
    <hyperlink xmlns:r="http://schemas.openxmlformats.org/officeDocument/2006/relationships" ref="M160" r:id="rId154"/>
    <hyperlink xmlns:r="http://schemas.openxmlformats.org/officeDocument/2006/relationships" ref="M161" r:id="rId155"/>
    <hyperlink xmlns:r="http://schemas.openxmlformats.org/officeDocument/2006/relationships" ref="M162" r:id="rId156"/>
    <hyperlink xmlns:r="http://schemas.openxmlformats.org/officeDocument/2006/relationships" ref="M163" r:id="rId157"/>
    <hyperlink xmlns:r="http://schemas.openxmlformats.org/officeDocument/2006/relationships" ref="M164" r:id="rId158"/>
    <hyperlink xmlns:r="http://schemas.openxmlformats.org/officeDocument/2006/relationships" ref="M165" r:id="rId159"/>
    <hyperlink xmlns:r="http://schemas.openxmlformats.org/officeDocument/2006/relationships" ref="M166" r:id="rId160"/>
    <hyperlink xmlns:r="http://schemas.openxmlformats.org/officeDocument/2006/relationships" ref="M167" r:id="rId161"/>
    <hyperlink xmlns:r="http://schemas.openxmlformats.org/officeDocument/2006/relationships" ref="M168" r:id="rId162"/>
    <hyperlink xmlns:r="http://schemas.openxmlformats.org/officeDocument/2006/relationships" ref="M169" r:id="rId163"/>
    <hyperlink xmlns:r="http://schemas.openxmlformats.org/officeDocument/2006/relationships" ref="M170" r:id="rId164"/>
    <hyperlink xmlns:r="http://schemas.openxmlformats.org/officeDocument/2006/relationships" ref="M171" r:id="rId165"/>
    <hyperlink xmlns:r="http://schemas.openxmlformats.org/officeDocument/2006/relationships" ref="M172" r:id="rId166"/>
    <hyperlink xmlns:r="http://schemas.openxmlformats.org/officeDocument/2006/relationships" ref="M173" r:id="rId167"/>
    <hyperlink xmlns:r="http://schemas.openxmlformats.org/officeDocument/2006/relationships" ref="M174" r:id="rId168"/>
    <hyperlink xmlns:r="http://schemas.openxmlformats.org/officeDocument/2006/relationships" ref="M175" r:id="rId169"/>
    <hyperlink xmlns:r="http://schemas.openxmlformats.org/officeDocument/2006/relationships" ref="M176" r:id="rId170"/>
    <hyperlink xmlns:r="http://schemas.openxmlformats.org/officeDocument/2006/relationships" ref="M177" r:id="rId171"/>
    <hyperlink xmlns:r="http://schemas.openxmlformats.org/officeDocument/2006/relationships" ref="M178" r:id="rId172"/>
    <hyperlink xmlns:r="http://schemas.openxmlformats.org/officeDocument/2006/relationships" ref="M179" r:id="rId173"/>
    <hyperlink xmlns:r="http://schemas.openxmlformats.org/officeDocument/2006/relationships" ref="M180" r:id="rId174"/>
    <hyperlink xmlns:r="http://schemas.openxmlformats.org/officeDocument/2006/relationships" ref="M181" r:id="rId175"/>
    <hyperlink xmlns:r="http://schemas.openxmlformats.org/officeDocument/2006/relationships" ref="M182" r:id="rId176"/>
    <hyperlink xmlns:r="http://schemas.openxmlformats.org/officeDocument/2006/relationships" ref="M183" r:id="rId177"/>
    <hyperlink xmlns:r="http://schemas.openxmlformats.org/officeDocument/2006/relationships" ref="M184" r:id="rId178"/>
    <hyperlink xmlns:r="http://schemas.openxmlformats.org/officeDocument/2006/relationships" ref="M185" r:id="rId179"/>
    <hyperlink xmlns:r="http://schemas.openxmlformats.org/officeDocument/2006/relationships" ref="M186" r:id="rId180"/>
    <hyperlink xmlns:r="http://schemas.openxmlformats.org/officeDocument/2006/relationships" ref="M187" r:id="rId181"/>
    <hyperlink xmlns:r="http://schemas.openxmlformats.org/officeDocument/2006/relationships" ref="M188" r:id="rId182"/>
    <hyperlink xmlns:r="http://schemas.openxmlformats.org/officeDocument/2006/relationships" ref="M189" r:id="rId183"/>
    <hyperlink xmlns:r="http://schemas.openxmlformats.org/officeDocument/2006/relationships" ref="M190" r:id="rId184"/>
    <hyperlink xmlns:r="http://schemas.openxmlformats.org/officeDocument/2006/relationships" ref="M191" r:id="rId185"/>
    <hyperlink xmlns:r="http://schemas.openxmlformats.org/officeDocument/2006/relationships" ref="M192" r:id="rId186"/>
    <hyperlink xmlns:r="http://schemas.openxmlformats.org/officeDocument/2006/relationships" ref="M193" r:id="rId187"/>
    <hyperlink xmlns:r="http://schemas.openxmlformats.org/officeDocument/2006/relationships" ref="M194" r:id="rId188"/>
    <hyperlink xmlns:r="http://schemas.openxmlformats.org/officeDocument/2006/relationships" ref="M195" r:id="rId189"/>
    <hyperlink xmlns:r="http://schemas.openxmlformats.org/officeDocument/2006/relationships" ref="M196" r:id="rId190"/>
    <hyperlink xmlns:r="http://schemas.openxmlformats.org/officeDocument/2006/relationships" ref="M197" r:id="rId191"/>
    <hyperlink xmlns:r="http://schemas.openxmlformats.org/officeDocument/2006/relationships" ref="M198" r:id="rId192"/>
    <hyperlink xmlns:r="http://schemas.openxmlformats.org/officeDocument/2006/relationships" ref="M199" r:id="rId193"/>
    <hyperlink xmlns:r="http://schemas.openxmlformats.org/officeDocument/2006/relationships" ref="M200" r:id="rId194"/>
    <hyperlink xmlns:r="http://schemas.openxmlformats.org/officeDocument/2006/relationships" ref="M201" r:id="rId195"/>
    <hyperlink xmlns:r="http://schemas.openxmlformats.org/officeDocument/2006/relationships" ref="M202" r:id="rId196"/>
    <hyperlink xmlns:r="http://schemas.openxmlformats.org/officeDocument/2006/relationships" ref="M203" r:id="rId197"/>
    <hyperlink xmlns:r="http://schemas.openxmlformats.org/officeDocument/2006/relationships" ref="M204" r:id="rId198"/>
    <hyperlink xmlns:r="http://schemas.openxmlformats.org/officeDocument/2006/relationships" ref="M205" r:id="rId199"/>
    <hyperlink xmlns:r="http://schemas.openxmlformats.org/officeDocument/2006/relationships" ref="M206" r:id="rId200"/>
    <hyperlink xmlns:r="http://schemas.openxmlformats.org/officeDocument/2006/relationships" ref="M207" r:id="rId201"/>
    <hyperlink xmlns:r="http://schemas.openxmlformats.org/officeDocument/2006/relationships" ref="M208" r:id="rId202"/>
    <hyperlink xmlns:r="http://schemas.openxmlformats.org/officeDocument/2006/relationships" ref="M209" r:id="rId203"/>
    <hyperlink xmlns:r="http://schemas.openxmlformats.org/officeDocument/2006/relationships" ref="M210" r:id="rId204"/>
    <hyperlink xmlns:r="http://schemas.openxmlformats.org/officeDocument/2006/relationships" ref="M211" r:id="rId205"/>
    <hyperlink xmlns:r="http://schemas.openxmlformats.org/officeDocument/2006/relationships" ref="M212" r:id="rId206"/>
    <hyperlink xmlns:r="http://schemas.openxmlformats.org/officeDocument/2006/relationships" ref="M213" r:id="rId207"/>
    <hyperlink xmlns:r="http://schemas.openxmlformats.org/officeDocument/2006/relationships" ref="M214" r:id="rId208"/>
    <hyperlink xmlns:r="http://schemas.openxmlformats.org/officeDocument/2006/relationships" ref="M215" r:id="rId209"/>
    <hyperlink xmlns:r="http://schemas.openxmlformats.org/officeDocument/2006/relationships" ref="M216" r:id="rId210"/>
    <hyperlink xmlns:r="http://schemas.openxmlformats.org/officeDocument/2006/relationships" ref="M217" r:id="rId211"/>
    <hyperlink xmlns:r="http://schemas.openxmlformats.org/officeDocument/2006/relationships" ref="M218" r:id="rId212"/>
    <hyperlink xmlns:r="http://schemas.openxmlformats.org/officeDocument/2006/relationships" ref="M219" r:id="rId213"/>
    <hyperlink xmlns:r="http://schemas.openxmlformats.org/officeDocument/2006/relationships" ref="M220" r:id="rId214"/>
    <hyperlink xmlns:r="http://schemas.openxmlformats.org/officeDocument/2006/relationships" ref="M221" r:id="rId215"/>
    <hyperlink xmlns:r="http://schemas.openxmlformats.org/officeDocument/2006/relationships" ref="M222" r:id="rId216"/>
    <hyperlink xmlns:r="http://schemas.openxmlformats.org/officeDocument/2006/relationships" ref="M223" r:id="rId217"/>
    <hyperlink xmlns:r="http://schemas.openxmlformats.org/officeDocument/2006/relationships" ref="M224" r:id="rId218"/>
    <hyperlink xmlns:r="http://schemas.openxmlformats.org/officeDocument/2006/relationships" ref="M225" r:id="rId219"/>
    <hyperlink xmlns:r="http://schemas.openxmlformats.org/officeDocument/2006/relationships" ref="M226" r:id="rId220"/>
    <hyperlink xmlns:r="http://schemas.openxmlformats.org/officeDocument/2006/relationships" ref="M227" r:id="rId221"/>
    <hyperlink xmlns:r="http://schemas.openxmlformats.org/officeDocument/2006/relationships" ref="M228" r:id="rId222"/>
    <hyperlink xmlns:r="http://schemas.openxmlformats.org/officeDocument/2006/relationships" ref="M229" r:id="rId223"/>
    <hyperlink xmlns:r="http://schemas.openxmlformats.org/officeDocument/2006/relationships" ref="M230" r:id="rId224"/>
    <hyperlink xmlns:r="http://schemas.openxmlformats.org/officeDocument/2006/relationships" ref="M231" r:id="rId225"/>
    <hyperlink xmlns:r="http://schemas.openxmlformats.org/officeDocument/2006/relationships" ref="M232" r:id="rId226"/>
    <hyperlink xmlns:r="http://schemas.openxmlformats.org/officeDocument/2006/relationships" ref="M233" r:id="rId227"/>
    <hyperlink xmlns:r="http://schemas.openxmlformats.org/officeDocument/2006/relationships" ref="M234" r:id="rId228"/>
    <hyperlink xmlns:r="http://schemas.openxmlformats.org/officeDocument/2006/relationships" ref="M235" r:id="rId229"/>
    <hyperlink xmlns:r="http://schemas.openxmlformats.org/officeDocument/2006/relationships" ref="M236" r:id="rId230"/>
    <hyperlink xmlns:r="http://schemas.openxmlformats.org/officeDocument/2006/relationships" ref="M237" r:id="rId231"/>
    <hyperlink xmlns:r="http://schemas.openxmlformats.org/officeDocument/2006/relationships" ref="M238" r:id="rId232"/>
    <hyperlink xmlns:r="http://schemas.openxmlformats.org/officeDocument/2006/relationships" ref="M239" r:id="rId233"/>
    <hyperlink xmlns:r="http://schemas.openxmlformats.org/officeDocument/2006/relationships" ref="M240" r:id="rId234"/>
    <hyperlink xmlns:r="http://schemas.openxmlformats.org/officeDocument/2006/relationships" ref="M241" r:id="rId235"/>
    <hyperlink xmlns:r="http://schemas.openxmlformats.org/officeDocument/2006/relationships" ref="M242" r:id="rId236"/>
    <hyperlink xmlns:r="http://schemas.openxmlformats.org/officeDocument/2006/relationships" ref="M243" r:id="rId237"/>
    <hyperlink xmlns:r="http://schemas.openxmlformats.org/officeDocument/2006/relationships" ref="M244" r:id="rId238"/>
    <hyperlink xmlns:r="http://schemas.openxmlformats.org/officeDocument/2006/relationships" ref="M245" r:id="rId239"/>
    <hyperlink xmlns:r="http://schemas.openxmlformats.org/officeDocument/2006/relationships" ref="M246" r:id="rId240"/>
    <hyperlink xmlns:r="http://schemas.openxmlformats.org/officeDocument/2006/relationships" ref="M247" r:id="rId241"/>
    <hyperlink xmlns:r="http://schemas.openxmlformats.org/officeDocument/2006/relationships" ref="M248" r:id="rId242"/>
    <hyperlink xmlns:r="http://schemas.openxmlformats.org/officeDocument/2006/relationships" ref="M249" r:id="rId243"/>
    <hyperlink xmlns:r="http://schemas.openxmlformats.org/officeDocument/2006/relationships" ref="M250" r:id="rId244"/>
    <hyperlink xmlns:r="http://schemas.openxmlformats.org/officeDocument/2006/relationships" ref="M251" r:id="rId245"/>
    <hyperlink xmlns:r="http://schemas.openxmlformats.org/officeDocument/2006/relationships" ref="M252" r:id="rId246"/>
    <hyperlink xmlns:r="http://schemas.openxmlformats.org/officeDocument/2006/relationships" ref="M253" r:id="rId247"/>
    <hyperlink xmlns:r="http://schemas.openxmlformats.org/officeDocument/2006/relationships" ref="M254" r:id="rId248"/>
    <hyperlink xmlns:r="http://schemas.openxmlformats.org/officeDocument/2006/relationships" ref="M255" r:id="rId249"/>
    <hyperlink xmlns:r="http://schemas.openxmlformats.org/officeDocument/2006/relationships" ref="M256" r:id="rId250"/>
    <hyperlink xmlns:r="http://schemas.openxmlformats.org/officeDocument/2006/relationships" ref="M257" r:id="rId251"/>
    <hyperlink xmlns:r="http://schemas.openxmlformats.org/officeDocument/2006/relationships" ref="M258" r:id="rId252"/>
    <hyperlink xmlns:r="http://schemas.openxmlformats.org/officeDocument/2006/relationships" ref="M259" r:id="rId253"/>
    <hyperlink xmlns:r="http://schemas.openxmlformats.org/officeDocument/2006/relationships" ref="M260" r:id="rId254"/>
    <hyperlink xmlns:r="http://schemas.openxmlformats.org/officeDocument/2006/relationships" ref="M261" r:id="rId255"/>
    <hyperlink xmlns:r="http://schemas.openxmlformats.org/officeDocument/2006/relationships" ref="M262" r:id="rId256"/>
    <hyperlink xmlns:r="http://schemas.openxmlformats.org/officeDocument/2006/relationships" ref="M263" r:id="rId257"/>
    <hyperlink xmlns:r="http://schemas.openxmlformats.org/officeDocument/2006/relationships" ref="M264" r:id="rId258"/>
    <hyperlink xmlns:r="http://schemas.openxmlformats.org/officeDocument/2006/relationships" ref="M265" r:id="rId259"/>
    <hyperlink xmlns:r="http://schemas.openxmlformats.org/officeDocument/2006/relationships" ref="M266" r:id="rId260"/>
    <hyperlink xmlns:r="http://schemas.openxmlformats.org/officeDocument/2006/relationships" ref="M267" r:id="rId261"/>
    <hyperlink xmlns:r="http://schemas.openxmlformats.org/officeDocument/2006/relationships" ref="M268" r:id="rId262"/>
    <hyperlink xmlns:r="http://schemas.openxmlformats.org/officeDocument/2006/relationships" ref="M269" r:id="rId263"/>
    <hyperlink xmlns:r="http://schemas.openxmlformats.org/officeDocument/2006/relationships" ref="M270" r:id="rId264"/>
    <hyperlink xmlns:r="http://schemas.openxmlformats.org/officeDocument/2006/relationships" ref="M271" r:id="rId265"/>
    <hyperlink xmlns:r="http://schemas.openxmlformats.org/officeDocument/2006/relationships" ref="M272" r:id="rId266"/>
    <hyperlink xmlns:r="http://schemas.openxmlformats.org/officeDocument/2006/relationships" ref="M273" r:id="rId267"/>
    <hyperlink xmlns:r="http://schemas.openxmlformats.org/officeDocument/2006/relationships" ref="M274" r:id="rId268"/>
    <hyperlink xmlns:r="http://schemas.openxmlformats.org/officeDocument/2006/relationships" ref="M275" r:id="rId269"/>
    <hyperlink xmlns:r="http://schemas.openxmlformats.org/officeDocument/2006/relationships" ref="M276" r:id="rId270"/>
    <hyperlink xmlns:r="http://schemas.openxmlformats.org/officeDocument/2006/relationships" ref="M277" r:id="rId271"/>
    <hyperlink xmlns:r="http://schemas.openxmlformats.org/officeDocument/2006/relationships" ref="M278" r:id="rId272"/>
    <hyperlink xmlns:r="http://schemas.openxmlformats.org/officeDocument/2006/relationships" ref="M279" r:id="rId273"/>
    <hyperlink xmlns:r="http://schemas.openxmlformats.org/officeDocument/2006/relationships" ref="M280" r:id="rId274"/>
    <hyperlink xmlns:r="http://schemas.openxmlformats.org/officeDocument/2006/relationships" ref="M281" r:id="rId275"/>
    <hyperlink xmlns:r="http://schemas.openxmlformats.org/officeDocument/2006/relationships" ref="M282" r:id="rId276"/>
    <hyperlink xmlns:r="http://schemas.openxmlformats.org/officeDocument/2006/relationships" ref="M283" r:id="rId277"/>
    <hyperlink xmlns:r="http://schemas.openxmlformats.org/officeDocument/2006/relationships" ref="M284" r:id="rId278"/>
    <hyperlink xmlns:r="http://schemas.openxmlformats.org/officeDocument/2006/relationships" ref="M285" r:id="rId279"/>
    <hyperlink xmlns:r="http://schemas.openxmlformats.org/officeDocument/2006/relationships" ref="M286" r:id="rId280"/>
    <hyperlink xmlns:r="http://schemas.openxmlformats.org/officeDocument/2006/relationships" ref="M287" r:id="rId281"/>
    <hyperlink xmlns:r="http://schemas.openxmlformats.org/officeDocument/2006/relationships" ref="M288" r:id="rId282"/>
    <hyperlink xmlns:r="http://schemas.openxmlformats.org/officeDocument/2006/relationships" ref="M289" r:id="rId283"/>
    <hyperlink xmlns:r="http://schemas.openxmlformats.org/officeDocument/2006/relationships" ref="M290" r:id="rId284"/>
    <hyperlink xmlns:r="http://schemas.openxmlformats.org/officeDocument/2006/relationships" ref="M291" r:id="rId285"/>
    <hyperlink xmlns:r="http://schemas.openxmlformats.org/officeDocument/2006/relationships" ref="M292" r:id="rId286"/>
    <hyperlink xmlns:r="http://schemas.openxmlformats.org/officeDocument/2006/relationships" ref="M293" r:id="rId287"/>
    <hyperlink xmlns:r="http://schemas.openxmlformats.org/officeDocument/2006/relationships" ref="M294" r:id="rId288"/>
    <hyperlink xmlns:r="http://schemas.openxmlformats.org/officeDocument/2006/relationships" ref="M295" r:id="rId289"/>
    <hyperlink xmlns:r="http://schemas.openxmlformats.org/officeDocument/2006/relationships" ref="M296" r:id="rId290"/>
    <hyperlink xmlns:r="http://schemas.openxmlformats.org/officeDocument/2006/relationships" ref="M297" r:id="rId291"/>
    <hyperlink xmlns:r="http://schemas.openxmlformats.org/officeDocument/2006/relationships" ref="M298" r:id="rId292"/>
    <hyperlink xmlns:r="http://schemas.openxmlformats.org/officeDocument/2006/relationships" ref="M299" r:id="rId293"/>
    <hyperlink xmlns:r="http://schemas.openxmlformats.org/officeDocument/2006/relationships" ref="M300" r:id="rId294"/>
    <hyperlink xmlns:r="http://schemas.openxmlformats.org/officeDocument/2006/relationships" ref="M301" r:id="rId295"/>
    <hyperlink xmlns:r="http://schemas.openxmlformats.org/officeDocument/2006/relationships" ref="M302" r:id="rId296"/>
    <hyperlink xmlns:r="http://schemas.openxmlformats.org/officeDocument/2006/relationships" ref="M303" r:id="rId297"/>
    <hyperlink xmlns:r="http://schemas.openxmlformats.org/officeDocument/2006/relationships" ref="M304" r:id="rId298"/>
    <hyperlink xmlns:r="http://schemas.openxmlformats.org/officeDocument/2006/relationships" ref="M305" r:id="rId299"/>
    <hyperlink xmlns:r="http://schemas.openxmlformats.org/officeDocument/2006/relationships" ref="M306" r:id="rId300"/>
    <hyperlink xmlns:r="http://schemas.openxmlformats.org/officeDocument/2006/relationships" ref="M307" r:id="rId301"/>
    <hyperlink xmlns:r="http://schemas.openxmlformats.org/officeDocument/2006/relationships" ref="M308" r:id="rId302"/>
    <hyperlink xmlns:r="http://schemas.openxmlformats.org/officeDocument/2006/relationships" ref="M309" r:id="rId303"/>
    <hyperlink xmlns:r="http://schemas.openxmlformats.org/officeDocument/2006/relationships" ref="M310" r:id="rId304"/>
    <hyperlink xmlns:r="http://schemas.openxmlformats.org/officeDocument/2006/relationships" ref="M311" r:id="rId305"/>
    <hyperlink xmlns:r="http://schemas.openxmlformats.org/officeDocument/2006/relationships" ref="M312" r:id="rId306"/>
    <hyperlink xmlns:r="http://schemas.openxmlformats.org/officeDocument/2006/relationships" ref="M313" r:id="rId307"/>
    <hyperlink xmlns:r="http://schemas.openxmlformats.org/officeDocument/2006/relationships" ref="M314" r:id="rId308"/>
    <hyperlink xmlns:r="http://schemas.openxmlformats.org/officeDocument/2006/relationships" ref="M315" r:id="rId309"/>
    <hyperlink xmlns:r="http://schemas.openxmlformats.org/officeDocument/2006/relationships" ref="M316" r:id="rId310"/>
    <hyperlink xmlns:r="http://schemas.openxmlformats.org/officeDocument/2006/relationships" ref="M317" r:id="rId311"/>
    <hyperlink xmlns:r="http://schemas.openxmlformats.org/officeDocument/2006/relationships" ref="M318" r:id="rId312"/>
    <hyperlink xmlns:r="http://schemas.openxmlformats.org/officeDocument/2006/relationships" ref="M319" r:id="rId313"/>
    <hyperlink xmlns:r="http://schemas.openxmlformats.org/officeDocument/2006/relationships" ref="M320" r:id="rId314"/>
    <hyperlink xmlns:r="http://schemas.openxmlformats.org/officeDocument/2006/relationships" ref="M321" r:id="rId315"/>
    <hyperlink xmlns:r="http://schemas.openxmlformats.org/officeDocument/2006/relationships" ref="M322" r:id="rId316"/>
    <hyperlink xmlns:r="http://schemas.openxmlformats.org/officeDocument/2006/relationships" ref="M323" r:id="rId317"/>
    <hyperlink xmlns:r="http://schemas.openxmlformats.org/officeDocument/2006/relationships" ref="M324" r:id="rId318"/>
    <hyperlink xmlns:r="http://schemas.openxmlformats.org/officeDocument/2006/relationships" ref="M325" r:id="rId319"/>
    <hyperlink xmlns:r="http://schemas.openxmlformats.org/officeDocument/2006/relationships" ref="M326" r:id="rId320"/>
    <hyperlink xmlns:r="http://schemas.openxmlformats.org/officeDocument/2006/relationships" ref="M327" r:id="rId321"/>
    <hyperlink xmlns:r="http://schemas.openxmlformats.org/officeDocument/2006/relationships" ref="M328" r:id="rId322"/>
    <hyperlink xmlns:r="http://schemas.openxmlformats.org/officeDocument/2006/relationships" ref="M329" r:id="rId323"/>
    <hyperlink xmlns:r="http://schemas.openxmlformats.org/officeDocument/2006/relationships" ref="M330" r:id="rId324"/>
    <hyperlink xmlns:r="http://schemas.openxmlformats.org/officeDocument/2006/relationships" ref="M331" r:id="rId325"/>
    <hyperlink xmlns:r="http://schemas.openxmlformats.org/officeDocument/2006/relationships" ref="M332" r:id="rId326"/>
    <hyperlink xmlns:r="http://schemas.openxmlformats.org/officeDocument/2006/relationships" ref="M333" r:id="rId327"/>
    <hyperlink xmlns:r="http://schemas.openxmlformats.org/officeDocument/2006/relationships" ref="M334" r:id="rId328"/>
    <hyperlink xmlns:r="http://schemas.openxmlformats.org/officeDocument/2006/relationships" ref="M335" r:id="rId329"/>
    <hyperlink xmlns:r="http://schemas.openxmlformats.org/officeDocument/2006/relationships" ref="M336" r:id="rId330"/>
    <hyperlink xmlns:r="http://schemas.openxmlformats.org/officeDocument/2006/relationships" ref="M337" r:id="rId331"/>
    <hyperlink xmlns:r="http://schemas.openxmlformats.org/officeDocument/2006/relationships" ref="M338" r:id="rId332"/>
    <hyperlink xmlns:r="http://schemas.openxmlformats.org/officeDocument/2006/relationships" ref="M339" r:id="rId333"/>
    <hyperlink xmlns:r="http://schemas.openxmlformats.org/officeDocument/2006/relationships" ref="M340" r:id="rId334"/>
    <hyperlink xmlns:r="http://schemas.openxmlformats.org/officeDocument/2006/relationships" ref="M341" r:id="rId335"/>
    <hyperlink xmlns:r="http://schemas.openxmlformats.org/officeDocument/2006/relationships" ref="M342" r:id="rId336"/>
    <hyperlink xmlns:r="http://schemas.openxmlformats.org/officeDocument/2006/relationships" ref="M343" r:id="rId337"/>
    <hyperlink xmlns:r="http://schemas.openxmlformats.org/officeDocument/2006/relationships" ref="M344" r:id="rId338"/>
    <hyperlink xmlns:r="http://schemas.openxmlformats.org/officeDocument/2006/relationships" ref="M345" r:id="rId339"/>
    <hyperlink xmlns:r="http://schemas.openxmlformats.org/officeDocument/2006/relationships" ref="M346" r:id="rId340"/>
    <hyperlink xmlns:r="http://schemas.openxmlformats.org/officeDocument/2006/relationships" ref="M347" r:id="rId341"/>
    <hyperlink xmlns:r="http://schemas.openxmlformats.org/officeDocument/2006/relationships" ref="M348" r:id="rId342"/>
    <hyperlink xmlns:r="http://schemas.openxmlformats.org/officeDocument/2006/relationships" ref="M349" r:id="rId343"/>
    <hyperlink xmlns:r="http://schemas.openxmlformats.org/officeDocument/2006/relationships" ref="M350" r:id="rId344"/>
    <hyperlink xmlns:r="http://schemas.openxmlformats.org/officeDocument/2006/relationships" ref="M351" r:id="rId345"/>
    <hyperlink xmlns:r="http://schemas.openxmlformats.org/officeDocument/2006/relationships" ref="M352" r:id="rId346"/>
    <hyperlink xmlns:r="http://schemas.openxmlformats.org/officeDocument/2006/relationships" ref="M353" r:id="rId347"/>
    <hyperlink xmlns:r="http://schemas.openxmlformats.org/officeDocument/2006/relationships" ref="M354" r:id="rId348"/>
    <hyperlink xmlns:r="http://schemas.openxmlformats.org/officeDocument/2006/relationships" ref="M355" r:id="rId349"/>
    <hyperlink xmlns:r="http://schemas.openxmlformats.org/officeDocument/2006/relationships" ref="M356" r:id="rId350"/>
    <hyperlink xmlns:r="http://schemas.openxmlformats.org/officeDocument/2006/relationships" ref="M357" r:id="rId351"/>
    <hyperlink xmlns:r="http://schemas.openxmlformats.org/officeDocument/2006/relationships" ref="M358" r:id="rId352"/>
    <hyperlink xmlns:r="http://schemas.openxmlformats.org/officeDocument/2006/relationships" ref="M359" r:id="rId353"/>
    <hyperlink xmlns:r="http://schemas.openxmlformats.org/officeDocument/2006/relationships" ref="M360" r:id="rId354"/>
    <hyperlink xmlns:r="http://schemas.openxmlformats.org/officeDocument/2006/relationships" ref="M361" r:id="rId355"/>
    <hyperlink xmlns:r="http://schemas.openxmlformats.org/officeDocument/2006/relationships" ref="M362" r:id="rId356"/>
    <hyperlink xmlns:r="http://schemas.openxmlformats.org/officeDocument/2006/relationships" ref="M363" r:id="rId357"/>
    <hyperlink xmlns:r="http://schemas.openxmlformats.org/officeDocument/2006/relationships" ref="M364" r:id="rId358"/>
    <hyperlink xmlns:r="http://schemas.openxmlformats.org/officeDocument/2006/relationships" ref="M365" r:id="rId359"/>
    <hyperlink xmlns:r="http://schemas.openxmlformats.org/officeDocument/2006/relationships" ref="M366" r:id="rId360"/>
    <hyperlink xmlns:r="http://schemas.openxmlformats.org/officeDocument/2006/relationships" ref="M367" r:id="rId361"/>
    <hyperlink xmlns:r="http://schemas.openxmlformats.org/officeDocument/2006/relationships" ref="M368" r:id="rId362"/>
    <hyperlink xmlns:r="http://schemas.openxmlformats.org/officeDocument/2006/relationships" ref="M369" r:id="rId363"/>
    <hyperlink xmlns:r="http://schemas.openxmlformats.org/officeDocument/2006/relationships" ref="M370" r:id="rId364"/>
    <hyperlink xmlns:r="http://schemas.openxmlformats.org/officeDocument/2006/relationships" ref="M371" r:id="rId365"/>
    <hyperlink xmlns:r="http://schemas.openxmlformats.org/officeDocument/2006/relationships" ref="M372" r:id="rId366"/>
    <hyperlink xmlns:r="http://schemas.openxmlformats.org/officeDocument/2006/relationships" ref="M373" r:id="rId367"/>
    <hyperlink xmlns:r="http://schemas.openxmlformats.org/officeDocument/2006/relationships" ref="M374" r:id="rId368"/>
    <hyperlink xmlns:r="http://schemas.openxmlformats.org/officeDocument/2006/relationships" ref="M375" r:id="rId369"/>
    <hyperlink xmlns:r="http://schemas.openxmlformats.org/officeDocument/2006/relationships" ref="M376" r:id="rId370"/>
    <hyperlink xmlns:r="http://schemas.openxmlformats.org/officeDocument/2006/relationships" ref="M377" r:id="rId371"/>
    <hyperlink xmlns:r="http://schemas.openxmlformats.org/officeDocument/2006/relationships" ref="M378" r:id="rId372"/>
    <hyperlink xmlns:r="http://schemas.openxmlformats.org/officeDocument/2006/relationships" ref="M379" r:id="rId373"/>
    <hyperlink xmlns:r="http://schemas.openxmlformats.org/officeDocument/2006/relationships" ref="M380" r:id="rId374"/>
    <hyperlink xmlns:r="http://schemas.openxmlformats.org/officeDocument/2006/relationships" ref="M381" r:id="rId375"/>
    <hyperlink xmlns:r="http://schemas.openxmlformats.org/officeDocument/2006/relationships" ref="M382" r:id="rId376"/>
    <hyperlink xmlns:r="http://schemas.openxmlformats.org/officeDocument/2006/relationships" ref="M383" r:id="rId377"/>
    <hyperlink xmlns:r="http://schemas.openxmlformats.org/officeDocument/2006/relationships" ref="M384" r:id="rId378"/>
    <hyperlink xmlns:r="http://schemas.openxmlformats.org/officeDocument/2006/relationships" ref="M385" r:id="rId379"/>
    <hyperlink xmlns:r="http://schemas.openxmlformats.org/officeDocument/2006/relationships" ref="M386" r:id="rId380"/>
    <hyperlink xmlns:r="http://schemas.openxmlformats.org/officeDocument/2006/relationships" ref="M387" r:id="rId381"/>
    <hyperlink xmlns:r="http://schemas.openxmlformats.org/officeDocument/2006/relationships" ref="M388" r:id="rId382"/>
    <hyperlink xmlns:r="http://schemas.openxmlformats.org/officeDocument/2006/relationships" ref="M389" r:id="rId383"/>
    <hyperlink xmlns:r="http://schemas.openxmlformats.org/officeDocument/2006/relationships" ref="M390" r:id="rId384"/>
    <hyperlink xmlns:r="http://schemas.openxmlformats.org/officeDocument/2006/relationships" ref="M391" r:id="rId385"/>
    <hyperlink xmlns:r="http://schemas.openxmlformats.org/officeDocument/2006/relationships" ref="M392" r:id="rId386"/>
    <hyperlink xmlns:r="http://schemas.openxmlformats.org/officeDocument/2006/relationships" ref="M393" r:id="rId387"/>
    <hyperlink xmlns:r="http://schemas.openxmlformats.org/officeDocument/2006/relationships" ref="M394" r:id="rId388"/>
    <hyperlink xmlns:r="http://schemas.openxmlformats.org/officeDocument/2006/relationships" ref="M395" r:id="rId389"/>
    <hyperlink xmlns:r="http://schemas.openxmlformats.org/officeDocument/2006/relationships" ref="M396" r:id="rId390"/>
    <hyperlink xmlns:r="http://schemas.openxmlformats.org/officeDocument/2006/relationships" ref="M397" r:id="rId391"/>
    <hyperlink xmlns:r="http://schemas.openxmlformats.org/officeDocument/2006/relationships" ref="M398" r:id="rId392"/>
    <hyperlink xmlns:r="http://schemas.openxmlformats.org/officeDocument/2006/relationships" ref="M399" r:id="rId393"/>
    <hyperlink xmlns:r="http://schemas.openxmlformats.org/officeDocument/2006/relationships" ref="M400" r:id="rId394"/>
    <hyperlink xmlns:r="http://schemas.openxmlformats.org/officeDocument/2006/relationships" ref="M401" r:id="rId395"/>
    <hyperlink xmlns:r="http://schemas.openxmlformats.org/officeDocument/2006/relationships" ref="M402" r:id="rId396"/>
    <hyperlink xmlns:r="http://schemas.openxmlformats.org/officeDocument/2006/relationships" ref="M403" r:id="rId397"/>
    <hyperlink xmlns:r="http://schemas.openxmlformats.org/officeDocument/2006/relationships" ref="M404" r:id="rId398"/>
    <hyperlink xmlns:r="http://schemas.openxmlformats.org/officeDocument/2006/relationships" ref="M405" r:id="rId399"/>
    <hyperlink xmlns:r="http://schemas.openxmlformats.org/officeDocument/2006/relationships" ref="M406" r:id="rId400"/>
    <hyperlink xmlns:r="http://schemas.openxmlformats.org/officeDocument/2006/relationships" ref="M407" r:id="rId401"/>
    <hyperlink xmlns:r="http://schemas.openxmlformats.org/officeDocument/2006/relationships" ref="M408" r:id="rId402"/>
    <hyperlink xmlns:r="http://schemas.openxmlformats.org/officeDocument/2006/relationships" ref="M409" r:id="rId403"/>
    <hyperlink xmlns:r="http://schemas.openxmlformats.org/officeDocument/2006/relationships" ref="M410" r:id="rId404"/>
    <hyperlink xmlns:r="http://schemas.openxmlformats.org/officeDocument/2006/relationships" ref="M411" r:id="rId405"/>
    <hyperlink xmlns:r="http://schemas.openxmlformats.org/officeDocument/2006/relationships" ref="M412" r:id="rId406"/>
    <hyperlink xmlns:r="http://schemas.openxmlformats.org/officeDocument/2006/relationships" ref="M413" r:id="rId407"/>
    <hyperlink xmlns:r="http://schemas.openxmlformats.org/officeDocument/2006/relationships" ref="M414" r:id="rId408"/>
    <hyperlink xmlns:r="http://schemas.openxmlformats.org/officeDocument/2006/relationships" ref="M415" r:id="rId409"/>
    <hyperlink xmlns:r="http://schemas.openxmlformats.org/officeDocument/2006/relationships" ref="M416" r:id="rId410"/>
    <hyperlink xmlns:r="http://schemas.openxmlformats.org/officeDocument/2006/relationships" ref="M417" r:id="rId411"/>
    <hyperlink xmlns:r="http://schemas.openxmlformats.org/officeDocument/2006/relationships" ref="M418" r:id="rId412"/>
    <hyperlink xmlns:r="http://schemas.openxmlformats.org/officeDocument/2006/relationships" ref="M419" r:id="rId413"/>
    <hyperlink xmlns:r="http://schemas.openxmlformats.org/officeDocument/2006/relationships" ref="M420" r:id="rId414"/>
    <hyperlink xmlns:r="http://schemas.openxmlformats.org/officeDocument/2006/relationships" ref="M421" r:id="rId415"/>
    <hyperlink xmlns:r="http://schemas.openxmlformats.org/officeDocument/2006/relationships" ref="M422" r:id="rId416"/>
    <hyperlink xmlns:r="http://schemas.openxmlformats.org/officeDocument/2006/relationships" ref="M423" r:id="rId417"/>
    <hyperlink xmlns:r="http://schemas.openxmlformats.org/officeDocument/2006/relationships" ref="M424" r:id="rId418"/>
    <hyperlink xmlns:r="http://schemas.openxmlformats.org/officeDocument/2006/relationships" ref="M425" r:id="rId419"/>
    <hyperlink xmlns:r="http://schemas.openxmlformats.org/officeDocument/2006/relationships" ref="M426" r:id="rId420"/>
    <hyperlink xmlns:r="http://schemas.openxmlformats.org/officeDocument/2006/relationships" ref="M427" r:id="rId421"/>
    <hyperlink xmlns:r="http://schemas.openxmlformats.org/officeDocument/2006/relationships" ref="M428" r:id="rId422"/>
    <hyperlink xmlns:r="http://schemas.openxmlformats.org/officeDocument/2006/relationships" ref="M429" r:id="rId423"/>
    <hyperlink xmlns:r="http://schemas.openxmlformats.org/officeDocument/2006/relationships" ref="M430" r:id="rId424"/>
    <hyperlink xmlns:r="http://schemas.openxmlformats.org/officeDocument/2006/relationships" ref="M431" r:id="rId425"/>
    <hyperlink xmlns:r="http://schemas.openxmlformats.org/officeDocument/2006/relationships" ref="M432" r:id="rId426"/>
    <hyperlink xmlns:r="http://schemas.openxmlformats.org/officeDocument/2006/relationships" ref="M433" r:id="rId427"/>
    <hyperlink xmlns:r="http://schemas.openxmlformats.org/officeDocument/2006/relationships" ref="M434" r:id="rId428"/>
    <hyperlink xmlns:r="http://schemas.openxmlformats.org/officeDocument/2006/relationships" ref="M435" r:id="rId429"/>
    <hyperlink xmlns:r="http://schemas.openxmlformats.org/officeDocument/2006/relationships" ref="M436" r:id="rId430"/>
    <hyperlink xmlns:r="http://schemas.openxmlformats.org/officeDocument/2006/relationships" ref="M437" r:id="rId431"/>
    <hyperlink xmlns:r="http://schemas.openxmlformats.org/officeDocument/2006/relationships" ref="M438" r:id="rId432"/>
    <hyperlink xmlns:r="http://schemas.openxmlformats.org/officeDocument/2006/relationships" ref="M439" r:id="rId433"/>
    <hyperlink xmlns:r="http://schemas.openxmlformats.org/officeDocument/2006/relationships" ref="M440" r:id="rId434"/>
    <hyperlink xmlns:r="http://schemas.openxmlformats.org/officeDocument/2006/relationships" ref="M441" r:id="rId435"/>
    <hyperlink xmlns:r="http://schemas.openxmlformats.org/officeDocument/2006/relationships" ref="M442" r:id="rId436"/>
    <hyperlink xmlns:r="http://schemas.openxmlformats.org/officeDocument/2006/relationships" ref="M443" r:id="rId437"/>
    <hyperlink xmlns:r="http://schemas.openxmlformats.org/officeDocument/2006/relationships" ref="M444" r:id="rId438"/>
    <hyperlink xmlns:r="http://schemas.openxmlformats.org/officeDocument/2006/relationships" ref="M445" r:id="rId439"/>
    <hyperlink xmlns:r="http://schemas.openxmlformats.org/officeDocument/2006/relationships" ref="M446" r:id="rId440"/>
    <hyperlink xmlns:r="http://schemas.openxmlformats.org/officeDocument/2006/relationships" ref="M447" r:id="rId4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Параметры</vt:lpstr>
      <vt:lpstr>1_Ремонт</vt:lpstr>
      <vt:lpstr>2_Заезд</vt:lpstr>
      <vt:lpstr>3_Саммари</vt:lpstr>
      <vt:lpstr>Планировка</vt:lpstr>
      <vt:lpstr>Закупка_ссылки</vt:lpstr>
      <vt:lpstr>Работы_подрядчики</vt:lpstr>
      <vt:lpstr>Видео_и_порядок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 Guzoev</cp:lastModifiedBy>
  <cp:revision>1</cp:revision>
  <dcterms:created xsi:type="dcterms:W3CDTF">2026-09-11T08:46:06Z</dcterms:created>
  <dcterms:modified xsi:type="dcterms:W3CDTF">2026-09-11T09:06:04Z</dcterms:modified>
  <dc:language>en-US</dc:language>
</cp:coreProperties>
</file>